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H1 Monthly Breakdown" sheetId="3" state="visible" r:id="rId3"/>
    <sheet name="Income Statement" sheetId="4" state="visible" r:id="rId4"/>
    <sheet name="CAC Breakdown" sheetId="5" state="visible" r:id="rId5"/>
    <sheet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1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/>
    <font>
      <b val="1"/>
      <sz val="18"/>
    </font>
    <font>
      <b val="1"/>
      <sz val="11"/>
    </font>
    <font>
      <sz val="10"/>
    </font>
    <font>
      <b val="1"/>
      <color rgb="00FF0000"/>
      <sz val="14"/>
    </font>
    <font>
      <color rgb="00CC0000"/>
      <sz val="10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0" borderId="0" pivotButton="0" quotePrefix="0" xfId="0"/>
    <xf numFmtId="3" fontId="0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NUQTA FINANCIAL MODEL - EXECUTIVE DASHBOARD</t>
        </is>
      </c>
    </row>
    <row r="2">
      <c r="A2" t="inlineStr">
        <is>
          <t>Last Updated: January 29, 2026 02:22 PM</t>
        </is>
      </c>
    </row>
    <row r="3">
      <c r="A3" t="inlineStr">
        <is>
          <t>Source: Pitch Deck + Master Roadmap (100% Aligned)</t>
        </is>
      </c>
    </row>
    <row r="5">
      <c r="A5" s="5" t="inlineStr">
        <is>
          <t>KEY HIGHLIGHTS</t>
        </is>
      </c>
    </row>
    <row r="7">
      <c r="A7" s="11" t="inlineStr">
        <is>
          <t>💰 Fundraising</t>
        </is>
      </c>
      <c r="B7" s="12" t="inlineStr">
        <is>
          <t>$300K SAFE</t>
        </is>
      </c>
      <c r="C7" s="12" t="inlineStr">
        <is>
          <t>20% discount, no cap</t>
        </is>
      </c>
      <c r="D7" s="12" t="inlineStr">
        <is>
          <t>8-10 month runway</t>
        </is>
      </c>
    </row>
    <row r="8">
      <c r="A8" s="11" t="inlineStr">
        <is>
          <t>🎯 H1 Target (5mo)</t>
        </is>
      </c>
      <c r="B8" s="12" t="inlineStr">
        <is>
          <t>10K MAU</t>
        </is>
      </c>
      <c r="C8" s="12" t="inlineStr">
        <is>
          <t>250 merchants</t>
        </is>
      </c>
      <c r="D8" s="12" t="inlineStr">
        <is>
          <t>AED 10M cumulative GMV</t>
        </is>
      </c>
    </row>
    <row r="9">
      <c r="A9" s="11" t="inlineStr">
        <is>
          <t>📊 Unit Economics</t>
        </is>
      </c>
      <c r="B9" s="12" t="inlineStr">
        <is>
          <t>10x LTV:CAC</t>
        </is>
      </c>
      <c r="C9" s="12" t="inlineStr">
        <is>
          <t>AED 360 LTV / AED 35 CAC</t>
        </is>
      </c>
      <c r="D9" s="12" t="inlineStr">
        <is>
          <t>7.5% net take rate</t>
        </is>
      </c>
    </row>
    <row r="10">
      <c r="A10" s="11" t="inlineStr">
        <is>
          <t>🚀 H2 Target (2.5mo)</t>
        </is>
      </c>
      <c r="B10" s="12" t="inlineStr">
        <is>
          <t>75K MAU</t>
        </is>
      </c>
      <c r="C10" s="12" t="inlineStr">
        <is>
          <t>500 merchants</t>
        </is>
      </c>
      <c r="D10" s="12" t="inlineStr">
        <is>
          <t>Category expansion</t>
        </is>
      </c>
    </row>
    <row r="11">
      <c r="A11" s="11" t="inlineStr">
        <is>
          <t>📈 H3 Target (12mo)</t>
        </is>
      </c>
      <c r="B11" s="12" t="inlineStr">
        <is>
          <t>250K MAU</t>
        </is>
      </c>
      <c r="C11" s="12" t="inlineStr">
        <is>
          <t>2K+ merchants</t>
        </is>
      </c>
      <c r="D11" s="12" t="inlineStr">
        <is>
          <t>AED 120M GMV</t>
        </is>
      </c>
    </row>
    <row r="14">
      <c r="A14" s="5" t="inlineStr">
        <is>
          <t>H1 EXIT GATE CRITERIA (Must Pass to Scale to H2)</t>
        </is>
      </c>
    </row>
    <row r="16">
      <c r="A16" s="6" t="inlineStr">
        <is>
          <t>Category</t>
        </is>
      </c>
      <c r="B16" s="6" t="inlineStr">
        <is>
          <t>Metric</t>
        </is>
      </c>
      <c r="C16" s="6" t="inlineStr">
        <is>
          <t>Target</t>
        </is>
      </c>
      <c r="D16" s="6" t="inlineStr">
        <is>
          <t>Status</t>
        </is>
      </c>
    </row>
    <row r="17">
      <c r="A17" t="inlineStr">
        <is>
          <t>Growth</t>
        </is>
      </c>
      <c r="B17" t="inlineStr">
        <is>
          <t>MAU</t>
        </is>
      </c>
      <c r="C17" t="inlineStr">
        <is>
          <t>10,000</t>
        </is>
      </c>
      <c r="D17" t="inlineStr">
        <is>
          <t>In Progress</t>
        </is>
      </c>
    </row>
    <row r="18">
      <c r="A18" t="inlineStr">
        <is>
          <t>Growth</t>
        </is>
      </c>
      <c r="B18" t="inlineStr">
        <is>
          <t>Merchants</t>
        </is>
      </c>
      <c r="C18" t="inlineStr">
        <is>
          <t>250</t>
        </is>
      </c>
      <c r="D18" t="inlineStr">
        <is>
          <t>In Progress</t>
        </is>
      </c>
    </row>
    <row r="19">
      <c r="A19" t="inlineStr">
        <is>
          <t>Growth</t>
        </is>
      </c>
      <c r="B19" t="inlineStr">
        <is>
          <t>Cumulative GMV</t>
        </is>
      </c>
      <c r="C19" t="inlineStr">
        <is>
          <t>AED 10M</t>
        </is>
      </c>
      <c r="D19" t="inlineStr">
        <is>
          <t>In Progress</t>
        </is>
      </c>
    </row>
    <row r="20">
      <c r="A20" t="inlineStr">
        <is>
          <t>Unit Economics</t>
        </is>
      </c>
      <c r="B20" t="inlineStr">
        <is>
          <t>LTV:CAC Ratio</t>
        </is>
      </c>
      <c r="C20" t="inlineStr">
        <is>
          <t>10x</t>
        </is>
      </c>
      <c r="D20" t="inlineStr">
        <is>
          <t>Modeled</t>
        </is>
      </c>
    </row>
    <row r="21">
      <c r="A21" t="inlineStr">
        <is>
          <t>Unit Economics</t>
        </is>
      </c>
      <c r="B21" t="inlineStr">
        <is>
          <t>CAC</t>
        </is>
      </c>
      <c r="C21" t="inlineStr">
        <is>
          <t>≤ AED 40</t>
        </is>
      </c>
      <c r="D21" t="inlineStr">
        <is>
          <t>Target: AED 35</t>
        </is>
      </c>
    </row>
    <row r="22">
      <c r="A22" t="inlineStr">
        <is>
          <t>Unit Economics</t>
        </is>
      </c>
      <c r="B22" t="inlineStr">
        <is>
          <t>Activation Rate</t>
        </is>
      </c>
      <c r="C22" t="inlineStr">
        <is>
          <t>≥ 40%</t>
        </is>
      </c>
      <c r="D22" t="inlineStr">
        <is>
          <t>Target: 40%</t>
        </is>
      </c>
    </row>
    <row r="23">
      <c r="A23" t="inlineStr">
        <is>
          <t>Retention</t>
        </is>
      </c>
      <c r="B23" t="inlineStr">
        <is>
          <t>D30 Retention</t>
        </is>
      </c>
      <c r="C23" t="inlineStr">
        <is>
          <t>≥ 25%</t>
        </is>
      </c>
      <c r="D23" t="inlineStr">
        <is>
          <t>Target: 25%</t>
        </is>
      </c>
    </row>
    <row r="24">
      <c r="A24" t="inlineStr">
        <is>
          <t>Retention</t>
        </is>
      </c>
      <c r="B24" t="inlineStr">
        <is>
          <t>Trans/Month</t>
        </is>
      </c>
      <c r="C24" t="inlineStr">
        <is>
          <t>≥ 4x</t>
        </is>
      </c>
      <c r="D24" t="inlineStr">
        <is>
          <t>Modeled: 4x</t>
        </is>
      </c>
    </row>
    <row r="25">
      <c r="A25" t="inlineStr">
        <is>
          <t>Retention</t>
        </is>
      </c>
      <c r="B25" t="inlineStr">
        <is>
          <t>Merchant NPS</t>
        </is>
      </c>
      <c r="C25" t="inlineStr">
        <is>
          <t>≥ 40</t>
        </is>
      </c>
      <c r="D25" t="inlineStr">
        <is>
          <t>TBD</t>
        </is>
      </c>
    </row>
    <row r="28">
      <c r="A28" s="5" t="inlineStr">
        <is>
          <t>FINANCIAL SUMMARY</t>
        </is>
      </c>
    </row>
    <row r="30">
      <c r="A30" s="6" t="inlineStr">
        <is>
          <t>Period</t>
        </is>
      </c>
      <c r="B30" s="6" t="inlineStr">
        <is>
          <t>Revenue</t>
        </is>
      </c>
      <c r="C30" s="6" t="inlineStr">
        <is>
          <t>Costs</t>
        </is>
      </c>
      <c r="D30" s="6" t="inlineStr">
        <is>
          <t>Net Profit/(Loss)</t>
        </is>
      </c>
      <c r="E30" s="6" t="inlineStr">
        <is>
          <t>Funding</t>
        </is>
      </c>
    </row>
    <row r="31">
      <c r="A31" t="inlineStr">
        <is>
          <t>H1 (5 months)</t>
        </is>
      </c>
      <c r="B31" t="inlineStr">
        <is>
          <t>AED 221K</t>
        </is>
      </c>
      <c r="C31" t="inlineStr">
        <is>
          <t>AED 605K</t>
        </is>
      </c>
      <c r="D31" t="inlineStr">
        <is>
          <t>(AED 417K)</t>
        </is>
      </c>
      <c r="E31" t="inlineStr">
        <is>
          <t>$300K SAFE</t>
        </is>
      </c>
    </row>
    <row r="32">
      <c r="A32" t="inlineStr">
        <is>
          <t>H2 (2.5 months)</t>
        </is>
      </c>
      <c r="B32" t="inlineStr">
        <is>
          <t>AED 563K</t>
        </is>
      </c>
      <c r="C32" t="inlineStr">
        <is>
          <t>AED 1.25M</t>
        </is>
      </c>
      <c r="D32" t="inlineStr">
        <is>
          <t>(AED 772K)</t>
        </is>
      </c>
      <c r="E32" t="inlineStr">
        <is>
          <t>TBD</t>
        </is>
      </c>
    </row>
    <row r="33">
      <c r="A33" t="inlineStr">
        <is>
          <t>H3 (12 months)</t>
        </is>
      </c>
      <c r="B33" t="inlineStr">
        <is>
          <t>AED 9.45M</t>
        </is>
      </c>
      <c r="C33" t="inlineStr">
        <is>
          <t>AED 12M</t>
        </is>
      </c>
      <c r="D33" t="inlineStr">
        <is>
          <t>(AED 3.97M)</t>
        </is>
      </c>
      <c r="E33" t="inlineStr">
        <is>
          <t>Series A</t>
        </is>
      </c>
    </row>
    <row r="34">
      <c r="A34" t="inlineStr">
        <is>
          <t>Year 2</t>
        </is>
      </c>
      <c r="B34" t="inlineStr">
        <is>
          <t>AED 22.3M</t>
        </is>
      </c>
      <c r="C34" t="inlineStr">
        <is>
          <t>AED 25M</t>
        </is>
      </c>
      <c r="D34" t="inlineStr">
        <is>
          <t>(AED 6.07M)</t>
        </is>
      </c>
      <c r="E34" t="inlineStr">
        <is>
          <t>Series A</t>
        </is>
      </c>
    </row>
    <row r="35">
      <c r="A35" t="inlineStr">
        <is>
          <t>Year 3</t>
        </is>
      </c>
      <c r="B35" t="inlineStr">
        <is>
          <t>AED 51.8M</t>
        </is>
      </c>
      <c r="C35" t="inlineStr">
        <is>
          <t>AED 50M</t>
        </is>
      </c>
      <c r="D35" t="inlineStr">
        <is>
          <t>(AED 6.01M)</t>
        </is>
      </c>
      <c r="E35" t="inlineStr">
        <is>
          <t>-</t>
        </is>
      </c>
    </row>
    <row r="36">
      <c r="A36" t="inlineStr">
        <is>
          <t>Year 4</t>
        </is>
      </c>
      <c r="B36" t="inlineStr">
        <is>
          <t>AED 118.8M</t>
        </is>
      </c>
      <c r="C36" t="inlineStr">
        <is>
          <t>AED 100M</t>
        </is>
      </c>
      <c r="D36" t="inlineStr">
        <is>
          <t>AED 980K</t>
        </is>
      </c>
      <c r="E36" t="inlineStr">
        <is>
          <t>Break-even</t>
        </is>
      </c>
    </row>
    <row r="39">
      <c r="A39" s="13" t="inlineStr">
        <is>
          <t>⚠️ CRITICAL NOTES</t>
        </is>
      </c>
    </row>
    <row r="41">
      <c r="A41" s="14" t="inlineStr">
        <is>
          <t>1. Current H1 projections show 7.4K MAU vs 10K target - need to increase acquisition</t>
        </is>
      </c>
    </row>
    <row r="42">
      <c r="A42" s="14" t="inlineStr">
        <is>
          <t>2. Merchant count at 215 vs 250 target - need +35 merchants by Month 5</t>
        </is>
      </c>
    </row>
    <row r="43">
      <c r="A43" s="14" t="inlineStr">
        <is>
          <t>3. GMV at AED 2.95M vs AED 10M target - significant gap, need to boost frequency or AOV</t>
        </is>
      </c>
    </row>
    <row r="44">
      <c r="A44" s="14" t="inlineStr">
        <is>
          <t>4. Model assumes 30% activation rate - pitch deck shows 40% target (need improvement)</t>
        </is>
      </c>
    </row>
    <row r="45">
      <c r="A45" s="14" t="inlineStr">
        <is>
          <t>5. Break-even projected Year 4 - earlier with better retention or lower 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NUQTA FINANCIAL MODEL - ASSUMPTIONS</t>
        </is>
      </c>
    </row>
    <row r="2">
      <c r="A2" t="inlineStr">
        <is>
          <t>Last Updated: January 29, 2026</t>
        </is>
      </c>
    </row>
    <row r="3">
      <c r="A3" t="inlineStr">
        <is>
          <t>Source: Pitch Deck + Master Roadmap (Jan 29, 2026)</t>
        </is>
      </c>
    </row>
    <row r="5">
      <c r="A5" t="inlineStr">
        <is>
          <t>Legend:</t>
        </is>
      </c>
    </row>
    <row r="6">
      <c r="A6" s="2" t="inlineStr">
        <is>
          <t>Pitch Deck Data</t>
        </is>
      </c>
    </row>
    <row r="7">
      <c r="A7" s="3" t="inlineStr">
        <is>
          <t>Calculated</t>
        </is>
      </c>
    </row>
    <row r="8">
      <c r="A8" s="4" t="inlineStr">
        <is>
          <t>Scenario Analysis</t>
        </is>
      </c>
    </row>
    <row r="10">
      <c r="A10" s="5" t="inlineStr">
        <is>
          <t>UNIT ECONOMICS (H1 - First 5 Months)</t>
        </is>
      </c>
    </row>
    <row r="11">
      <c r="A11" s="6" t="inlineStr"/>
      <c r="B11" s="6" t="inlineStr">
        <is>
          <t>Metric</t>
        </is>
      </c>
      <c r="C11" s="6" t="inlineStr">
        <is>
          <t>Value</t>
        </is>
      </c>
      <c r="D11" s="6" t="inlineStr">
        <is>
          <t>Unit</t>
        </is>
      </c>
      <c r="E11" s="6" t="inlineStr">
        <is>
          <t>Source</t>
        </is>
      </c>
    </row>
    <row r="12">
      <c r="B12" t="inlineStr">
        <is>
          <t>Currency</t>
        </is>
      </c>
      <c r="C12" t="inlineStr">
        <is>
          <t>AED</t>
        </is>
      </c>
      <c r="E12" t="inlineStr">
        <is>
          <t>UAE-based company</t>
        </is>
      </c>
    </row>
    <row r="13">
      <c r="B13" t="inlineStr">
        <is>
          <t>Average Order Value (AOV)</t>
        </is>
      </c>
      <c r="C13" t="n">
        <v>100</v>
      </c>
      <c r="D13" t="inlineStr">
        <is>
          <t>AED</t>
        </is>
      </c>
      <c r="E13" t="inlineStr">
        <is>
          <t>Pitch Deck - Unit Economics slide</t>
        </is>
      </c>
    </row>
    <row r="14">
      <c r="B14" t="inlineStr">
        <is>
          <t>Transaction Frequency</t>
        </is>
      </c>
      <c r="C14" t="n">
        <v>4</v>
      </c>
      <c r="D14" t="inlineStr">
        <is>
          <t>per user/month</t>
        </is>
      </c>
      <c r="E14" t="inlineStr">
        <is>
          <t>Pitch Deck - 6x modeled, 4x conservative</t>
        </is>
      </c>
    </row>
    <row r="15">
      <c r="B15" t="inlineStr">
        <is>
          <t>Merchant Fee (Gross)</t>
        </is>
      </c>
      <c r="C15" t="inlineStr">
        <is>
          <t>15%</t>
        </is>
      </c>
      <c r="D15" t="inlineStr">
        <is>
          <t>%</t>
        </is>
      </c>
      <c r="E15" t="inlineStr">
        <is>
          <t>Pitch Deck - Business Model</t>
        </is>
      </c>
    </row>
    <row r="16">
      <c r="B16" t="inlineStr">
        <is>
          <t>User Cashback</t>
        </is>
      </c>
      <c r="C16" t="inlineStr">
        <is>
          <t>7%</t>
        </is>
      </c>
      <c r="D16" t="inlineStr">
        <is>
          <t>%</t>
        </is>
      </c>
      <c r="E16" t="inlineStr">
        <is>
          <t>Pitch Deck - 5-10%, modeled at 7%</t>
        </is>
      </c>
    </row>
    <row r="17">
      <c r="B17" t="inlineStr">
        <is>
          <t>Net Take Rate</t>
        </is>
      </c>
      <c r="C17" t="inlineStr">
        <is>
          <t>7.5%</t>
        </is>
      </c>
      <c r="D17" t="inlineStr">
        <is>
          <t>%</t>
        </is>
      </c>
      <c r="E17" t="inlineStr">
        <is>
          <t>15% - 7% = 7.5%</t>
        </is>
      </c>
    </row>
    <row r="18">
      <c r="B18" t="inlineStr">
        <is>
          <t>Blended CAC</t>
        </is>
      </c>
      <c r="C18" t="n">
        <v>35</v>
      </c>
      <c r="D18" t="inlineStr">
        <is>
          <t>AED</t>
        </is>
      </c>
      <c r="E18" t="inlineStr">
        <is>
          <t>Pitch Deck - AED 30-40 range, using midpoint</t>
        </is>
      </c>
    </row>
    <row r="19">
      <c r="B19" t="inlineStr">
        <is>
          <t>CAC - Merchant QR</t>
        </is>
      </c>
      <c r="C19" t="n">
        <v>15</v>
      </c>
      <c r="D19" t="inlineStr">
        <is>
          <t>AED</t>
        </is>
      </c>
      <c r="E19" t="inlineStr">
        <is>
          <t>Pitch Deck - Primary channel</t>
        </is>
      </c>
    </row>
    <row r="20">
      <c r="B20" t="inlineStr">
        <is>
          <t>CAC - Student Ambassadors</t>
        </is>
      </c>
      <c r="C20" t="n">
        <v>30</v>
      </c>
      <c r="D20" t="inlineStr">
        <is>
          <t>AED</t>
        </is>
      </c>
      <c r="E20" t="inlineStr">
        <is>
          <t>Pitch Deck - Secondary channel</t>
        </is>
      </c>
    </row>
    <row r="21">
      <c r="B21" t="inlineStr">
        <is>
          <t>CAC - Digital (Gated)</t>
        </is>
      </c>
      <c r="C21" t="n">
        <v>70</v>
      </c>
      <c r="D21" t="inlineStr">
        <is>
          <t>AED</t>
        </is>
      </c>
      <c r="E21" t="inlineStr">
        <is>
          <t>Pitch Deck - Not used in H1</t>
        </is>
      </c>
    </row>
    <row r="22">
      <c r="B22" t="inlineStr">
        <is>
          <t>Annual LTV (12-month retention)</t>
        </is>
      </c>
      <c r="C22" t="n">
        <v>360</v>
      </c>
      <c r="D22" t="inlineStr">
        <is>
          <t>AED</t>
        </is>
      </c>
      <c r="E22" t="inlineStr">
        <is>
          <t>Pitch Deck - AED 30 RPU × 12 months</t>
        </is>
      </c>
    </row>
    <row r="23">
      <c r="B23" t="inlineStr">
        <is>
          <t>LTV:CAC Ratio (Base Case)</t>
        </is>
      </c>
      <c r="C23" t="inlineStr">
        <is>
          <t>10x</t>
        </is>
      </c>
      <c r="E23" t="inlineStr">
        <is>
          <t>AED 360 / AED 35 = 10.3x</t>
        </is>
      </c>
    </row>
    <row r="24">
      <c r="B24" t="inlineStr">
        <is>
          <t>Monthly Revenue Per User (RPU)</t>
        </is>
      </c>
      <c r="C24" t="n">
        <v>30</v>
      </c>
      <c r="D24" t="inlineStr">
        <is>
          <t>AED</t>
        </is>
      </c>
      <c r="E24" t="inlineStr">
        <is>
          <t>Pitch Deck - Unit Economics slide</t>
        </is>
      </c>
    </row>
    <row r="27">
      <c r="A27" s="5" t="inlineStr">
        <is>
          <t>H1 TARGETS (Month 5 - Exit Gate Criteria)</t>
        </is>
      </c>
    </row>
    <row r="28">
      <c r="A28" s="6" t="inlineStr"/>
      <c r="B28" s="6" t="inlineStr">
        <is>
          <t>Metric</t>
        </is>
      </c>
      <c r="C28" s="6" t="inlineStr">
        <is>
          <t>Target</t>
        </is>
      </c>
      <c r="D28" s="6" t="inlineStr">
        <is>
          <t>Unit</t>
        </is>
      </c>
      <c r="E28" s="6" t="inlineStr">
        <is>
          <t>Source</t>
        </is>
      </c>
    </row>
    <row r="29">
      <c r="B29" t="inlineStr">
        <is>
          <t>Monthly Active Users (MAU)</t>
        </is>
      </c>
      <c r="C29" t="n">
        <v>10000</v>
      </c>
      <c r="D29" t="inlineStr">
        <is>
          <t>users</t>
        </is>
      </c>
      <c r="E29" t="inlineStr">
        <is>
          <t>Pitch Deck - H1 Gate</t>
        </is>
      </c>
    </row>
    <row r="30">
      <c r="B30" t="inlineStr">
        <is>
          <t>Active Merchants</t>
        </is>
      </c>
      <c r="C30" t="n">
        <v>250</v>
      </c>
      <c r="D30" t="inlineStr">
        <is>
          <t>merchants</t>
        </is>
      </c>
      <c r="E30" t="inlineStr">
        <is>
          <t>Pitch Deck - H1 Gate</t>
        </is>
      </c>
    </row>
    <row r="31">
      <c r="B31" t="inlineStr">
        <is>
          <t>Cumulative GMV (5 months)</t>
        </is>
      </c>
      <c r="C31" t="n">
        <v>10000000</v>
      </c>
      <c r="D31" t="inlineStr">
        <is>
          <t>AED</t>
        </is>
      </c>
      <c r="E31" t="inlineStr">
        <is>
          <t>Pitch Deck - H1 Gate</t>
        </is>
      </c>
    </row>
    <row r="32">
      <c r="B32" t="inlineStr">
        <is>
          <t>D30 Retention</t>
        </is>
      </c>
      <c r="C32" t="inlineStr">
        <is>
          <t>25%</t>
        </is>
      </c>
      <c r="D32" t="inlineStr">
        <is>
          <t>%</t>
        </is>
      </c>
      <c r="E32" t="inlineStr">
        <is>
          <t>Pitch Deck - H1 Gate minimum</t>
        </is>
      </c>
    </row>
    <row r="33">
      <c r="B33" t="inlineStr">
        <is>
          <t>LTV:CAC Ratio</t>
        </is>
      </c>
      <c r="C33" t="inlineStr">
        <is>
          <t>10x</t>
        </is>
      </c>
      <c r="E33" t="inlineStr">
        <is>
          <t>Pitch Deck - H1 Gate validation</t>
        </is>
      </c>
    </row>
    <row r="34">
      <c r="B34" t="inlineStr">
        <is>
          <t>Cumulative Revenue (5 months)</t>
        </is>
      </c>
      <c r="C34" t="n">
        <v>750000</v>
      </c>
      <c r="D34" t="inlineStr">
        <is>
          <t>AED</t>
        </is>
      </c>
      <c r="E34" t="inlineStr">
        <is>
          <t>AED 10M GMV × 7.5% net</t>
        </is>
      </c>
    </row>
    <row r="36">
      <c r="A36" s="5" t="inlineStr">
        <is>
          <t>FUNDING &amp; BURN RATE</t>
        </is>
      </c>
    </row>
    <row r="37">
      <c r="A37" s="6" t="inlineStr"/>
      <c r="B37" s="6" t="inlineStr">
        <is>
          <t>Metric</t>
        </is>
      </c>
      <c r="C37" s="6" t="inlineStr">
        <is>
          <t>Value</t>
        </is>
      </c>
      <c r="D37" s="6" t="inlineStr">
        <is>
          <t>Unit</t>
        </is>
      </c>
      <c r="E37" s="6" t="inlineStr">
        <is>
          <t>Source</t>
        </is>
      </c>
    </row>
    <row r="38">
      <c r="B38" t="inlineStr">
        <is>
          <t>Total Fundraise</t>
        </is>
      </c>
      <c r="C38" t="n">
        <v>300000</v>
      </c>
      <c r="D38" t="inlineStr">
        <is>
          <t>USD</t>
        </is>
      </c>
      <c r="E38" t="inlineStr">
        <is>
          <t>Pitch Deck - The Ask slide</t>
        </is>
      </c>
    </row>
    <row r="39">
      <c r="B39" t="inlineStr">
        <is>
          <t>SAFE Discount</t>
        </is>
      </c>
      <c r="C39" t="inlineStr">
        <is>
          <t>20%</t>
        </is>
      </c>
      <c r="D39" t="inlineStr">
        <is>
          <t>%</t>
        </is>
      </c>
      <c r="E39" t="inlineStr">
        <is>
          <t>Pitch Deck - No cap</t>
        </is>
      </c>
    </row>
    <row r="40">
      <c r="B40" t="inlineStr">
        <is>
          <t>Runway Target</t>
        </is>
      </c>
      <c r="C40" t="inlineStr">
        <is>
          <t>8-10</t>
        </is>
      </c>
      <c r="D40" t="inlineStr">
        <is>
          <t>months</t>
        </is>
      </c>
      <c r="E40" t="inlineStr">
        <is>
          <t>Pitch Deck implication</t>
        </is>
      </c>
    </row>
    <row r="41">
      <c r="B41" t="inlineStr">
        <is>
          <t>Monthly Burn Rate</t>
        </is>
      </c>
      <c r="C41" t="n">
        <v>33000</v>
      </c>
      <c r="D41" t="inlineStr">
        <is>
          <t>USD</t>
        </is>
      </c>
      <c r="E41" t="inlineStr">
        <is>
          <t>$300K / 9 months avg</t>
        </is>
      </c>
    </row>
    <row r="42">
      <c r="B42" t="inlineStr">
        <is>
          <t>Monthly Burn Rate</t>
        </is>
      </c>
      <c r="C42" t="n">
        <v>121000</v>
      </c>
      <c r="D42" t="inlineStr">
        <is>
          <t>AED</t>
        </is>
      </c>
      <c r="E42" t="inlineStr">
        <is>
          <t>$33K × 3.67 AED/USD</t>
        </is>
      </c>
    </row>
    <row r="43">
      <c r="B43" t="inlineStr">
        <is>
          <t>Burn Allocation - Marketing</t>
        </is>
      </c>
      <c r="C43" t="inlineStr">
        <is>
          <t>60%</t>
        </is>
      </c>
      <c r="D43" t="inlineStr">
        <is>
          <t>%</t>
        </is>
      </c>
      <c r="E43" t="inlineStr">
        <is>
          <t>CAC-heavy in H1</t>
        </is>
      </c>
    </row>
    <row r="44">
      <c r="B44" t="inlineStr">
        <is>
          <t>Burn Allocation - Technology</t>
        </is>
      </c>
      <c r="C44" t="inlineStr">
        <is>
          <t>20%</t>
        </is>
      </c>
      <c r="D44" t="inlineStr">
        <is>
          <t>%</t>
        </is>
      </c>
      <c r="E44" t="inlineStr">
        <is>
          <t>MVP + infrastructure</t>
        </is>
      </c>
    </row>
    <row r="45">
      <c r="B45" t="inlineStr">
        <is>
          <t>Burn Allocation - Operations</t>
        </is>
      </c>
      <c r="C45" t="inlineStr">
        <is>
          <t>20%</t>
        </is>
      </c>
      <c r="D45" t="inlineStr">
        <is>
          <t>%</t>
        </is>
      </c>
      <c r="E45" t="inlineStr">
        <is>
          <t>Team + overhead</t>
        </is>
      </c>
    </row>
    <row r="47">
      <c r="A47" s="5" t="inlineStr">
        <is>
          <t>CAC FUNNEL (MERCHANT QR CHANNEL)</t>
        </is>
      </c>
    </row>
    <row r="48">
      <c r="A48" s="6" t="inlineStr"/>
      <c r="B48" s="6" t="inlineStr">
        <is>
          <t>Step</t>
        </is>
      </c>
      <c r="C48" s="6" t="inlineStr">
        <is>
          <t>Conversion Rate</t>
        </is>
      </c>
      <c r="D48" s="6" t="inlineStr">
        <is>
          <t>Example Calculation</t>
        </is>
      </c>
    </row>
    <row r="49">
      <c r="B49" t="inlineStr">
        <is>
          <t>1. QR Scan</t>
        </is>
      </c>
      <c r="C49" t="inlineStr">
        <is>
          <t>2%</t>
        </is>
      </c>
      <c r="D49" t="inlineStr">
        <is>
          <t>50 merchants × 40 diners/day = 2,000 → 40 scan QR</t>
        </is>
      </c>
    </row>
    <row r="50">
      <c r="B50" t="inlineStr">
        <is>
          <t>2. App Download</t>
        </is>
      </c>
      <c r="C50" t="inlineStr">
        <is>
          <t>20%</t>
        </is>
      </c>
      <c r="D50" t="inlineStr">
        <is>
          <t>40 scans → 8 downloads</t>
        </is>
      </c>
    </row>
    <row r="51">
      <c r="B51" t="inlineStr">
        <is>
          <t>3. Sign Up</t>
        </is>
      </c>
      <c r="C51" t="inlineStr">
        <is>
          <t>80%</t>
        </is>
      </c>
      <c r="D51" t="inlineStr">
        <is>
          <t>8 downloads → 6.4 signups</t>
        </is>
      </c>
    </row>
    <row r="52">
      <c r="B52" t="inlineStr">
        <is>
          <t>4. First Transaction (Activation)</t>
        </is>
      </c>
      <c r="C52" t="inlineStr">
        <is>
          <t>40%</t>
        </is>
      </c>
      <c r="D52" t="inlineStr">
        <is>
          <t>6.4 signups → 2.5 activated users</t>
        </is>
      </c>
    </row>
    <row r="53">
      <c r="B53" t="inlineStr">
        <is>
          <t>Overall Funnel Efficiency</t>
        </is>
      </c>
      <c r="C53" t="inlineStr">
        <is>
          <t>0.128%</t>
        </is>
      </c>
      <c r="D53" t="inlineStr">
        <is>
          <t>2% × 20% × 80% × 40% = 0.128%</t>
        </is>
      </c>
    </row>
    <row r="54">
      <c r="B54" t="inlineStr">
        <is>
          <t>Cost per Merchant</t>
        </is>
      </c>
      <c r="C54" t="n">
        <v>5</v>
      </c>
      <c r="D54" t="inlineStr">
        <is>
          <t>AED/month (QR printing + incentive)</t>
        </is>
      </c>
    </row>
    <row r="55">
      <c r="B55" t="inlineStr">
        <is>
          <t>Result</t>
        </is>
      </c>
      <c r="C55" t="inlineStr">
        <is>
          <t>AED 15 CAC</t>
        </is>
      </c>
      <c r="D55" t="inlineStr">
        <is>
          <t>50 merchants × AED 5 = AED 250 → 17 users/mo</t>
        </is>
      </c>
    </row>
    <row r="58">
      <c r="A58" s="5" t="inlineStr">
        <is>
          <t>RETENTION SENSITIVITY SCENARIOS</t>
        </is>
      </c>
    </row>
    <row r="59">
      <c r="A59" s="6" t="inlineStr"/>
      <c r="B59" s="6" t="inlineStr">
        <is>
          <t>Scenario</t>
        </is>
      </c>
      <c r="C59" s="6" t="inlineStr">
        <is>
          <t>Avg Retention</t>
        </is>
      </c>
      <c r="D59" s="6" t="inlineStr">
        <is>
          <t>LTV</t>
        </is>
      </c>
      <c r="E59" s="6" t="inlineStr">
        <is>
          <t>LTV:CAC</t>
        </is>
      </c>
      <c r="F59" s="6" t="inlineStr">
        <is>
          <t>Verdict</t>
        </is>
      </c>
    </row>
    <row r="60">
      <c r="B60" s="4" t="inlineStr">
        <is>
          <t>Downside (50% churn)</t>
        </is>
      </c>
      <c r="C60" t="inlineStr">
        <is>
          <t>6 months</t>
        </is>
      </c>
      <c r="D60" t="inlineStr">
        <is>
          <t>AED 180</t>
        </is>
      </c>
      <c r="E60" t="inlineStr">
        <is>
          <t>5.1x</t>
        </is>
      </c>
      <c r="F60" t="inlineStr">
        <is>
          <t>Still above 3x benchmark</t>
        </is>
      </c>
    </row>
    <row r="61">
      <c r="B61" s="3" t="inlineStr">
        <is>
          <t>Conservative (H1 realistic)</t>
        </is>
      </c>
      <c r="C61" t="inlineStr">
        <is>
          <t>8 months</t>
        </is>
      </c>
      <c r="D61" t="inlineStr">
        <is>
          <t>AED 240</t>
        </is>
      </c>
      <c r="E61" t="inlineStr">
        <is>
          <t>6.9x</t>
        </is>
      </c>
      <c r="F61" t="inlineStr">
        <is>
          <t>Excellent by SaaS standards</t>
        </is>
      </c>
    </row>
    <row r="62">
      <c r="B62" s="2" t="inlineStr">
        <is>
          <t>Base Case (Pitch Deck)</t>
        </is>
      </c>
      <c r="C62" t="inlineStr">
        <is>
          <t>12 months</t>
        </is>
      </c>
      <c r="D62" t="inlineStr">
        <is>
          <t>AED 360</t>
        </is>
      </c>
      <c r="E62" t="inlineStr">
        <is>
          <t>10.3x</t>
        </is>
      </c>
      <c r="F62" t="inlineStr">
        <is>
          <t>H1 gate target</t>
        </is>
      </c>
    </row>
    <row r="63">
      <c r="B63" t="inlineStr">
        <is>
          <t>With 3% Fraud</t>
        </is>
      </c>
      <c r="C63" t="inlineStr">
        <is>
          <t>12 months</t>
        </is>
      </c>
      <c r="D63" t="inlineStr">
        <is>
          <t>AED 319</t>
        </is>
      </c>
      <c r="E63" t="inlineStr">
        <is>
          <t>9.1x</t>
        </is>
      </c>
      <c r="F63" t="inlineStr">
        <is>
          <t>Post-fraud mitigation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H1 MONTHLY BREAKDOWN (First 5 Months)</t>
        </is>
      </c>
    </row>
    <row r="2">
      <c r="A2" t="inlineStr">
        <is>
          <t>Timeline: Feb 2026 - Jun 2026 (5 months to H1 gate)</t>
        </is>
      </c>
    </row>
    <row r="4">
      <c r="A4" s="7" t="inlineStr">
        <is>
          <t>Metric</t>
        </is>
      </c>
      <c r="B4" s="7" t="inlineStr">
        <is>
          <t>Unit</t>
        </is>
      </c>
      <c r="C4" s="7" t="inlineStr">
        <is>
          <t>Month 1</t>
        </is>
      </c>
      <c r="D4" s="7" t="inlineStr">
        <is>
          <t>Month 2</t>
        </is>
      </c>
      <c r="E4" s="7" t="inlineStr">
        <is>
          <t>Month 3</t>
        </is>
      </c>
      <c r="F4" s="7" t="inlineStr">
        <is>
          <t>Month 4</t>
        </is>
      </c>
      <c r="G4" s="7" t="inlineStr">
        <is>
          <t>Month 5 (Gate)</t>
        </is>
      </c>
      <c r="H4" s="7" t="inlineStr">
        <is>
          <t>Total/Avg</t>
        </is>
      </c>
    </row>
    <row r="6">
      <c r="A6" s="8" t="inlineStr">
        <is>
          <t>USER METRICS</t>
        </is>
      </c>
    </row>
    <row r="7">
      <c r="A7" t="inlineStr">
        <is>
          <t>New Users Acquired</t>
        </is>
      </c>
      <c r="B7" t="inlineStr">
        <is>
          <t>users</t>
        </is>
      </c>
      <c r="C7" s="9" t="n">
        <v>1000</v>
      </c>
      <c r="D7" s="9" t="n">
        <v>1500</v>
      </c>
      <c r="E7" s="9" t="n">
        <v>2500</v>
      </c>
      <c r="F7" s="9" t="n">
        <v>2500</v>
      </c>
      <c r="G7" s="9" t="n">
        <v>2500</v>
      </c>
      <c r="H7">
        <f>SUM(C7:G7)</f>
        <v/>
      </c>
    </row>
    <row r="8">
      <c r="A8" t="inlineStr">
        <is>
          <t>Churn (5%)</t>
        </is>
      </c>
      <c r="B8" t="inlineStr">
        <is>
          <t>users</t>
        </is>
      </c>
      <c r="C8" s="9" t="n">
        <v>0</v>
      </c>
      <c r="D8" s="9" t="n">
        <v>50</v>
      </c>
      <c r="E8" s="9" t="n">
        <v>125</v>
      </c>
      <c r="F8" s="9" t="n">
        <v>250</v>
      </c>
      <c r="G8" s="9" t="n">
        <v>375</v>
      </c>
    </row>
    <row r="9">
      <c r="A9" t="inlineStr">
        <is>
          <t>Net New Users</t>
        </is>
      </c>
      <c r="B9" t="inlineStr">
        <is>
          <t>users</t>
        </is>
      </c>
      <c r="C9" s="9" t="n">
        <v>1000</v>
      </c>
      <c r="D9" s="9" t="n">
        <v>1450</v>
      </c>
      <c r="E9" s="9" t="n">
        <v>2375</v>
      </c>
      <c r="F9" s="9" t="n">
        <v>2250</v>
      </c>
      <c r="G9" s="9" t="n">
        <v>2125</v>
      </c>
    </row>
    <row r="10">
      <c r="A10" t="inlineStr">
        <is>
          <t>Cumulative Total Users</t>
        </is>
      </c>
      <c r="B10" t="inlineStr">
        <is>
          <t>users</t>
        </is>
      </c>
      <c r="C10" s="9" t="n">
        <v>1000</v>
      </c>
      <c r="D10" s="9" t="n">
        <v>2450</v>
      </c>
      <c r="E10" s="9" t="n">
        <v>4825</v>
      </c>
      <c r="F10" s="9" t="n">
        <v>7075</v>
      </c>
      <c r="G10" s="9" t="n">
        <v>9200</v>
      </c>
      <c r="H10" s="9" t="n">
        <v>9200</v>
      </c>
    </row>
    <row r="11">
      <c r="A11" t="inlineStr">
        <is>
          <t>Activation Rate</t>
        </is>
      </c>
      <c r="B11" t="inlineStr">
        <is>
          <t>%</t>
        </is>
      </c>
      <c r="C11" t="inlineStr">
        <is>
          <t>30%</t>
        </is>
      </c>
      <c r="D11" t="inlineStr">
        <is>
          <t>30%</t>
        </is>
      </c>
      <c r="E11" t="inlineStr">
        <is>
          <t>30%</t>
        </is>
      </c>
      <c r="F11" t="inlineStr">
        <is>
          <t>30%</t>
        </is>
      </c>
      <c r="G11" t="inlineStr">
        <is>
          <t>30%</t>
        </is>
      </c>
      <c r="H11" t="inlineStr">
        <is>
          <t>30%</t>
        </is>
      </c>
    </row>
    <row r="12">
      <c r="A12" t="inlineStr">
        <is>
          <t>Monthly Active Users (MAU)</t>
        </is>
      </c>
      <c r="B12" t="inlineStr">
        <is>
          <t>users</t>
        </is>
      </c>
      <c r="C12" s="9" t="n">
        <v>300</v>
      </c>
      <c r="D12" s="9" t="n">
        <v>735</v>
      </c>
      <c r="E12" s="9" t="n">
        <v>1448</v>
      </c>
      <c r="F12" s="9" t="n">
        <v>2123</v>
      </c>
      <c r="G12" s="9" t="n">
        <v>2760</v>
      </c>
      <c r="H12" s="9" t="n">
        <v>2760</v>
      </c>
    </row>
    <row r="13">
      <c r="A13" t="inlineStr">
        <is>
          <t>Cumulative MAU (Target: 10K)</t>
        </is>
      </c>
      <c r="B13" t="inlineStr">
        <is>
          <t>users</t>
        </is>
      </c>
      <c r="C13" s="9" t="n">
        <v>300</v>
      </c>
      <c r="D13" s="9" t="n">
        <v>1035</v>
      </c>
      <c r="E13" s="9" t="n">
        <v>2483</v>
      </c>
      <c r="F13" s="9" t="n">
        <v>4606</v>
      </c>
      <c r="G13" s="9" t="n">
        <v>7366</v>
      </c>
      <c r="H13" s="9" t="n">
        <v>7366</v>
      </c>
    </row>
    <row r="15">
      <c r="A15" t="inlineStr">
        <is>
          <t>Note:</t>
        </is>
      </c>
      <c r="C15" t="inlineStr">
        <is>
          <t>Conservative ramp: Need 10K MAU by Month 5</t>
        </is>
      </c>
    </row>
    <row r="16">
      <c r="A16" t="inlineStr">
        <is>
          <t>Gap Analysis:</t>
        </is>
      </c>
      <c r="C16" t="inlineStr">
        <is>
          <t>Current projection: 7.4K MAU</t>
        </is>
      </c>
      <c r="E16" t="inlineStr">
        <is>
          <t>Need +2.6K MAU</t>
        </is>
      </c>
    </row>
    <row r="19">
      <c r="A19" s="8" t="inlineStr">
        <is>
          <t>MERCHANT METRICS</t>
        </is>
      </c>
    </row>
    <row r="20">
      <c r="A20" t="inlineStr">
        <is>
          <t>New Merchants Onboarded</t>
        </is>
      </c>
      <c r="B20" t="inlineStr">
        <is>
          <t>merchants</t>
        </is>
      </c>
      <c r="C20" s="9" t="n">
        <v>20</v>
      </c>
      <c r="D20" s="9" t="n">
        <v>30</v>
      </c>
      <c r="E20" s="9" t="n">
        <v>50</v>
      </c>
      <c r="F20" s="9" t="n">
        <v>75</v>
      </c>
      <c r="G20" s="9" t="n">
        <v>75</v>
      </c>
      <c r="H20">
        <f>SUM(C20:G20)</f>
        <v/>
      </c>
    </row>
    <row r="21">
      <c r="A21" t="inlineStr">
        <is>
          <t>Churn (10%)</t>
        </is>
      </c>
      <c r="B21" t="inlineStr">
        <is>
          <t>merchants</t>
        </is>
      </c>
      <c r="C21" s="9" t="n">
        <v>0</v>
      </c>
      <c r="D21" s="9" t="n">
        <v>2</v>
      </c>
      <c r="E21" s="9" t="n">
        <v>5</v>
      </c>
      <c r="F21" s="9" t="n">
        <v>10</v>
      </c>
      <c r="G21" s="9" t="n">
        <v>18</v>
      </c>
    </row>
    <row r="22">
      <c r="A22" t="inlineStr">
        <is>
          <t>Net New Merchants</t>
        </is>
      </c>
      <c r="B22" t="inlineStr">
        <is>
          <t>merchants</t>
        </is>
      </c>
      <c r="C22" s="9" t="n">
        <v>20</v>
      </c>
      <c r="D22" s="9" t="n">
        <v>28</v>
      </c>
      <c r="E22" s="9" t="n">
        <v>45</v>
      </c>
      <c r="F22" s="9" t="n">
        <v>65</v>
      </c>
      <c r="G22" s="9" t="n">
        <v>57</v>
      </c>
    </row>
    <row r="23">
      <c r="A23" t="inlineStr">
        <is>
          <t>Cumulative Active Merchants</t>
        </is>
      </c>
      <c r="B23" t="inlineStr">
        <is>
          <t>merchants</t>
        </is>
      </c>
      <c r="C23" s="9" t="n">
        <v>20</v>
      </c>
      <c r="D23" s="9" t="n">
        <v>48</v>
      </c>
      <c r="E23" s="9" t="n">
        <v>93</v>
      </c>
      <c r="F23" s="9" t="n">
        <v>158</v>
      </c>
      <c r="G23" s="9" t="n">
        <v>215</v>
      </c>
      <c r="H23" s="9" t="n">
        <v>215</v>
      </c>
    </row>
    <row r="24">
      <c r="A24" t="inlineStr">
        <is>
          <t>Target: 250 merchants</t>
        </is>
      </c>
    </row>
    <row r="25">
      <c r="A25" t="inlineStr">
        <is>
          <t>Gap:</t>
        </is>
      </c>
      <c r="C25" t="inlineStr">
        <is>
          <t>Current: 215</t>
        </is>
      </c>
      <c r="D25" t="inlineStr">
        <is>
          <t>Need: +35 merchants in Month 5</t>
        </is>
      </c>
    </row>
    <row r="28">
      <c r="A28" s="8" t="inlineStr">
        <is>
          <t>GMV &amp; REVENUE</t>
        </is>
      </c>
    </row>
    <row r="29">
      <c r="A29" t="inlineStr">
        <is>
          <t>Active Users (MAU)</t>
        </is>
      </c>
      <c r="B29" t="inlineStr">
        <is>
          <t>users</t>
        </is>
      </c>
      <c r="C29" s="9" t="n">
        <v>300</v>
      </c>
      <c r="D29" s="9" t="n">
        <v>735</v>
      </c>
      <c r="E29" s="9" t="n">
        <v>1448</v>
      </c>
      <c r="F29" s="9" t="n">
        <v>2123</v>
      </c>
      <c r="G29" s="9" t="n">
        <v>2760</v>
      </c>
    </row>
    <row r="30">
      <c r="A30" t="inlineStr">
        <is>
          <t>Avg Transactions per User</t>
        </is>
      </c>
      <c r="B30" t="inlineStr">
        <is>
          <t>trans/month</t>
        </is>
      </c>
      <c r="C30" s="9" t="n">
        <v>4</v>
      </c>
      <c r="D30" s="9" t="n">
        <v>4</v>
      </c>
      <c r="E30" s="9" t="n">
        <v>4</v>
      </c>
      <c r="F30" s="9" t="n">
        <v>4</v>
      </c>
      <c r="G30" s="9" t="n">
        <v>4</v>
      </c>
      <c r="H30" s="9" t="n">
        <v>4</v>
      </c>
    </row>
    <row r="31">
      <c r="A31" t="inlineStr">
        <is>
          <t>Total Transactions</t>
        </is>
      </c>
      <c r="B31" t="inlineStr">
        <is>
          <t>trans</t>
        </is>
      </c>
      <c r="C31" s="9" t="n">
        <v>1200</v>
      </c>
      <c r="D31" s="9" t="n">
        <v>2940</v>
      </c>
      <c r="E31" s="9" t="n">
        <v>5792</v>
      </c>
      <c r="F31" s="9" t="n">
        <v>8492</v>
      </c>
      <c r="G31" s="9" t="n">
        <v>11040</v>
      </c>
      <c r="H31">
        <f>SUM(C31:G31)</f>
        <v/>
      </c>
    </row>
    <row r="32">
      <c r="A32" t="inlineStr">
        <is>
          <t>Average Order Value (AOV)</t>
        </is>
      </c>
      <c r="B32" t="inlineStr">
        <is>
          <t>AED</t>
        </is>
      </c>
      <c r="C32" s="9" t="n">
        <v>100</v>
      </c>
      <c r="D32" s="9" t="n">
        <v>100</v>
      </c>
      <c r="E32" s="9" t="n">
        <v>100</v>
      </c>
      <c r="F32" s="9" t="n">
        <v>100</v>
      </c>
      <c r="G32" s="9" t="n">
        <v>100</v>
      </c>
      <c r="H32" s="9" t="n">
        <v>100</v>
      </c>
    </row>
    <row r="33">
      <c r="A33" t="inlineStr">
        <is>
          <t>Monthly GMV</t>
        </is>
      </c>
      <c r="B33" t="inlineStr">
        <is>
          <t>AED</t>
        </is>
      </c>
      <c r="C33" s="9" t="n">
        <v>120000</v>
      </c>
      <c r="D33" s="9" t="n">
        <v>294000</v>
      </c>
      <c r="E33" s="9" t="n">
        <v>579200</v>
      </c>
      <c r="F33" s="9" t="n">
        <v>849200</v>
      </c>
      <c r="G33" s="9" t="n">
        <v>1104000</v>
      </c>
      <c r="H33">
        <f>SUM(C32:G32)</f>
        <v/>
      </c>
    </row>
    <row r="34">
      <c r="A34" t="inlineStr">
        <is>
          <t>Cumulative GMV</t>
        </is>
      </c>
      <c r="B34" t="inlineStr">
        <is>
          <t>AED</t>
        </is>
      </c>
      <c r="C34" s="9" t="n">
        <v>120000</v>
      </c>
      <c r="D34" s="9" t="n">
        <v>414000</v>
      </c>
      <c r="E34" s="9" t="n">
        <v>993200</v>
      </c>
      <c r="F34" s="9" t="n">
        <v>1842400</v>
      </c>
      <c r="G34" s="9" t="n">
        <v>2946400</v>
      </c>
      <c r="H34" s="9" t="n">
        <v>2946400</v>
      </c>
    </row>
    <row r="35">
      <c r="A35" t="inlineStr">
        <is>
          <t>Target Cumulative GMV: AED 10M</t>
        </is>
      </c>
    </row>
    <row r="36">
      <c r="A36" t="inlineStr">
        <is>
          <t>Gap:</t>
        </is>
      </c>
      <c r="C36" t="inlineStr">
        <is>
          <t>Current: AED 2.95M</t>
        </is>
      </c>
      <c r="D36" t="inlineStr">
        <is>
          <t>Need: +AED 7.05M</t>
        </is>
      </c>
    </row>
    <row r="38">
      <c r="A38" t="inlineStr">
        <is>
          <t>Gross Merchant Fee (15%)</t>
        </is>
      </c>
      <c r="B38" t="inlineStr">
        <is>
          <t>AED</t>
        </is>
      </c>
      <c r="C38" s="9" t="n">
        <v>18000</v>
      </c>
      <c r="D38" s="9" t="n">
        <v>44100</v>
      </c>
      <c r="E38" s="9" t="n">
        <v>86880</v>
      </c>
      <c r="F38" s="9" t="n">
        <v>127380</v>
      </c>
      <c r="G38" s="9" t="n">
        <v>165600</v>
      </c>
      <c r="H38">
        <f>SUM(C37:G37)</f>
        <v/>
      </c>
    </row>
    <row r="39">
      <c r="A39" t="inlineStr">
        <is>
          <t>User Cashback (7%)</t>
        </is>
      </c>
      <c r="B39" t="inlineStr">
        <is>
          <t>AED</t>
        </is>
      </c>
      <c r="C39" s="9" t="n">
        <v>-8400</v>
      </c>
      <c r="D39" s="9" t="n">
        <v>-20580</v>
      </c>
      <c r="E39" s="9" t="n">
        <v>-40544</v>
      </c>
      <c r="F39" s="9" t="n">
        <v>-59444</v>
      </c>
      <c r="G39" s="9" t="n">
        <v>-77280</v>
      </c>
      <c r="H39">
        <f>SUM(C38:G38)</f>
        <v/>
      </c>
    </row>
    <row r="40">
      <c r="A40" t="inlineStr">
        <is>
          <t>Platform Costs (0.5%)</t>
        </is>
      </c>
      <c r="B40" t="inlineStr">
        <is>
          <t>AED</t>
        </is>
      </c>
      <c r="C40" s="9" t="n">
        <v>-600</v>
      </c>
      <c r="D40" s="9" t="n">
        <v>-1470</v>
      </c>
      <c r="E40" s="9" t="n">
        <v>-2896</v>
      </c>
      <c r="F40" s="9" t="n">
        <v>-4246</v>
      </c>
      <c r="G40" s="9" t="n">
        <v>-5520</v>
      </c>
      <c r="H40">
        <f>SUM(C39:G39)</f>
        <v/>
      </c>
    </row>
    <row r="41">
      <c r="A41" t="inlineStr">
        <is>
          <t>Net Revenue (7.5%)</t>
        </is>
      </c>
      <c r="B41" t="inlineStr">
        <is>
          <t>AED</t>
        </is>
      </c>
      <c r="C41" s="9" t="n">
        <v>9000</v>
      </c>
      <c r="D41" s="9" t="n">
        <v>22050</v>
      </c>
      <c r="E41" s="9" t="n">
        <v>43440</v>
      </c>
      <c r="F41" s="9" t="n">
        <v>63690</v>
      </c>
      <c r="G41" s="9" t="n">
        <v>82800</v>
      </c>
      <c r="H41">
        <f>SUM(C40:G40)</f>
        <v/>
      </c>
    </row>
    <row r="42">
      <c r="A42" t="inlineStr">
        <is>
          <t>Cumulative Revenue</t>
        </is>
      </c>
      <c r="B42" t="inlineStr">
        <is>
          <t>AED</t>
        </is>
      </c>
      <c r="C42" s="9" t="n">
        <v>9000</v>
      </c>
      <c r="D42" s="9" t="n">
        <v>31050</v>
      </c>
      <c r="E42" s="9" t="n">
        <v>74490</v>
      </c>
      <c r="F42" s="9" t="n">
        <v>138180</v>
      </c>
      <c r="G42" s="9" t="n">
        <v>220980</v>
      </c>
      <c r="H42" s="9" t="n">
        <v>220980</v>
      </c>
    </row>
    <row r="45">
      <c r="A45" s="8" t="inlineStr">
        <is>
          <t>COSTS &amp; BURN</t>
        </is>
      </c>
    </row>
    <row r="46">
      <c r="A46" t="inlineStr">
        <is>
          <t>CAC Spend (60% of burn)</t>
        </is>
      </c>
      <c r="B46" t="inlineStr">
        <is>
          <t>AED</t>
        </is>
      </c>
      <c r="C46" s="9" t="n">
        <v>72600</v>
      </c>
      <c r="D46" s="9" t="n">
        <v>72600</v>
      </c>
      <c r="E46" s="9" t="n">
        <v>72600</v>
      </c>
      <c r="F46" s="9" t="n">
        <v>72600</v>
      </c>
      <c r="G46" s="9" t="n">
        <v>72600</v>
      </c>
      <c r="H46">
        <f>SUM(C46:G46)</f>
        <v/>
      </c>
    </row>
    <row r="47">
      <c r="A47" t="inlineStr">
        <is>
          <t>New Users Acquired</t>
        </is>
      </c>
      <c r="B47" t="inlineStr">
        <is>
          <t>users</t>
        </is>
      </c>
      <c r="C47" s="9" t="n">
        <v>1000</v>
      </c>
      <c r="D47" s="9" t="n">
        <v>1500</v>
      </c>
      <c r="E47" s="9" t="n">
        <v>2500</v>
      </c>
      <c r="F47" s="9" t="n">
        <v>2500</v>
      </c>
      <c r="G47" s="9" t="n">
        <v>2500</v>
      </c>
    </row>
    <row r="48">
      <c r="A48" t="inlineStr">
        <is>
          <t>Blended CAC</t>
        </is>
      </c>
      <c r="B48" t="inlineStr">
        <is>
          <t>AED</t>
        </is>
      </c>
      <c r="C48">
        <f>C46/C47</f>
        <v/>
      </c>
      <c r="D48">
        <f>D46/D47</f>
        <v/>
      </c>
      <c r="E48">
        <f>E46/E47</f>
        <v/>
      </c>
      <c r="F48">
        <f>F46/F47</f>
        <v/>
      </c>
      <c r="G48">
        <f>G46/G47</f>
        <v/>
      </c>
    </row>
    <row r="50">
      <c r="A50" t="inlineStr">
        <is>
          <t>Technology &amp; Infra (20%)</t>
        </is>
      </c>
      <c r="B50" t="inlineStr">
        <is>
          <t>AED</t>
        </is>
      </c>
      <c r="C50" s="9" t="n">
        <v>24200</v>
      </c>
      <c r="D50" s="9" t="n">
        <v>24200</v>
      </c>
      <c r="E50" s="9" t="n">
        <v>24200</v>
      </c>
      <c r="F50" s="9" t="n">
        <v>24200</v>
      </c>
      <c r="G50" s="9" t="n">
        <v>24200</v>
      </c>
      <c r="H50">
        <f>SUM(C50:G50)</f>
        <v/>
      </c>
    </row>
    <row r="51">
      <c r="A51" t="inlineStr">
        <is>
          <t>Operations &amp; Overhead (20%)</t>
        </is>
      </c>
      <c r="B51" t="inlineStr">
        <is>
          <t>AED</t>
        </is>
      </c>
      <c r="C51" s="9" t="n">
        <v>24200</v>
      </c>
      <c r="D51" s="9" t="n">
        <v>24200</v>
      </c>
      <c r="E51" s="9" t="n">
        <v>24200</v>
      </c>
      <c r="F51" s="9" t="n">
        <v>24200</v>
      </c>
      <c r="G51" s="9" t="n">
        <v>24200</v>
      </c>
      <c r="H51">
        <f>SUM(C51:G51)</f>
        <v/>
      </c>
    </row>
    <row r="53">
      <c r="A53" t="inlineStr">
        <is>
          <t>Total Monthly Burn</t>
        </is>
      </c>
      <c r="B53" t="inlineStr">
        <is>
          <t>AED</t>
        </is>
      </c>
      <c r="C53" s="9" t="n">
        <v>121000</v>
      </c>
      <c r="D53" s="9" t="n">
        <v>121000</v>
      </c>
      <c r="E53" s="9" t="n">
        <v>121000</v>
      </c>
      <c r="F53" s="9" t="n">
        <v>121000</v>
      </c>
      <c r="G53" s="9" t="n">
        <v>121000</v>
      </c>
      <c r="H53">
        <f>SUM(C53:G53)</f>
        <v/>
      </c>
    </row>
    <row r="54">
      <c r="A54" t="inlineStr">
        <is>
          <t>Cumulative Burn</t>
        </is>
      </c>
      <c r="B54" t="inlineStr">
        <is>
          <t>AED</t>
        </is>
      </c>
      <c r="C54" s="9" t="n">
        <v>121000</v>
      </c>
      <c r="D54" s="9" t="n">
        <v>242000</v>
      </c>
      <c r="E54" s="9" t="n">
        <v>363000</v>
      </c>
      <c r="F54" s="9" t="n">
        <v>484000</v>
      </c>
      <c r="G54" s="9" t="n">
        <v>605000</v>
      </c>
      <c r="H54" s="9" t="n">
        <v>605000</v>
      </c>
    </row>
    <row r="56">
      <c r="A56" t="inlineStr">
        <is>
          <t>Monthly Cash Flow</t>
        </is>
      </c>
      <c r="B56" t="inlineStr">
        <is>
          <t>AED</t>
        </is>
      </c>
      <c r="C56">
        <f>C40-C53</f>
        <v/>
      </c>
      <c r="D56">
        <f>D40-D53</f>
        <v/>
      </c>
      <c r="E56">
        <f>E40-E53</f>
        <v/>
      </c>
      <c r="F56">
        <f>F40-F53</f>
        <v/>
      </c>
      <c r="G56">
        <f>G40-G53</f>
        <v/>
      </c>
    </row>
    <row r="57">
      <c r="A57" t="inlineStr">
        <is>
          <t>Cumulative Cash Flow</t>
        </is>
      </c>
      <c r="B57" t="inlineStr">
        <is>
          <t>AED</t>
        </is>
      </c>
      <c r="C57">
        <f>C56</f>
        <v/>
      </c>
      <c r="D57">
        <f>D56+C57</f>
        <v/>
      </c>
      <c r="E57">
        <f>E56+D57</f>
        <v/>
      </c>
      <c r="F57">
        <f>F56+E57</f>
        <v/>
      </c>
      <c r="G57">
        <f>G56+F57</f>
        <v/>
      </c>
    </row>
    <row r="60">
      <c r="A60" s="8" t="inlineStr">
        <is>
          <t>KEY METRICS &amp; RATIOS</t>
        </is>
      </c>
    </row>
    <row r="61">
      <c r="A61" t="inlineStr">
        <is>
          <t>LTV (12-mo retention)</t>
        </is>
      </c>
      <c r="B61" t="inlineStr">
        <is>
          <t>AED</t>
        </is>
      </c>
      <c r="C61" s="9" t="n">
        <v>360</v>
      </c>
      <c r="D61" s="9" t="n">
        <v>360</v>
      </c>
      <c r="E61" s="9" t="n">
        <v>360</v>
      </c>
      <c r="F61" s="9" t="n">
        <v>360</v>
      </c>
      <c r="G61" s="9" t="n">
        <v>360</v>
      </c>
      <c r="H61" s="9" t="n">
        <v>360</v>
      </c>
    </row>
    <row r="62">
      <c r="A62" t="inlineStr">
        <is>
          <t>Blended CAC</t>
        </is>
      </c>
      <c r="B62" t="inlineStr">
        <is>
          <t>AED</t>
        </is>
      </c>
      <c r="C62">
        <f>C48</f>
        <v/>
      </c>
      <c r="D62">
        <f>D48</f>
        <v/>
      </c>
      <c r="E62">
        <f>E48</f>
        <v/>
      </c>
      <c r="F62">
        <f>F48</f>
        <v/>
      </c>
      <c r="G62">
        <f>G48</f>
        <v/>
      </c>
      <c r="H62">
        <f>AVERAGE(C62:G62)</f>
        <v/>
      </c>
    </row>
    <row r="63">
      <c r="A63" t="inlineStr">
        <is>
          <t>LTV:CAC Ratio</t>
        </is>
      </c>
      <c r="B63" t="inlineStr">
        <is>
          <t>x</t>
        </is>
      </c>
      <c r="C63">
        <f>C61/C62</f>
        <v/>
      </c>
      <c r="D63">
        <f>D61/D62</f>
        <v/>
      </c>
      <c r="E63">
        <f>E61/E62</f>
        <v/>
      </c>
      <c r="F63">
        <f>F61/F62</f>
        <v/>
      </c>
      <c r="G63">
        <f>G61/G62</f>
        <v/>
      </c>
      <c r="H63">
        <f>H61/H62</f>
        <v/>
      </c>
    </row>
    <row r="65">
      <c r="A65" t="inlineStr">
        <is>
          <t>Monthly RPU</t>
        </is>
      </c>
      <c r="B65" t="inlineStr">
        <is>
          <t>AED</t>
        </is>
      </c>
      <c r="C65" s="9" t="n">
        <v>30</v>
      </c>
      <c r="D65" s="9" t="n">
        <v>30</v>
      </c>
      <c r="E65" s="9" t="n">
        <v>30</v>
      </c>
      <c r="F65" s="9" t="n">
        <v>30</v>
      </c>
      <c r="G65" s="9" t="n">
        <v>30</v>
      </c>
      <c r="H65" s="9" t="n">
        <v>30</v>
      </c>
    </row>
    <row r="66">
      <c r="A66" t="inlineStr">
        <is>
          <t>GMV per MAU</t>
        </is>
      </c>
      <c r="B66" t="inlineStr">
        <is>
          <t>AED</t>
        </is>
      </c>
      <c r="C66">
        <f>C32/C29</f>
        <v/>
      </c>
      <c r="D66">
        <f>D32/D29</f>
        <v/>
      </c>
      <c r="E66">
        <f>E32/E29</f>
        <v/>
      </c>
      <c r="F66">
        <f>F32/F29</f>
        <v/>
      </c>
      <c r="G66">
        <f>G32/G29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NUQTA - PRO FORMA INCOME STATEMENT</t>
        </is>
      </c>
    </row>
    <row r="2">
      <c r="A2" t="inlineStr">
        <is>
          <t>All values in AED (UAE Dirhams)</t>
        </is>
      </c>
    </row>
    <row r="4">
      <c r="B4" s="7" t="inlineStr">
        <is>
          <t>H1 (5mo)</t>
        </is>
      </c>
      <c r="C4" s="7" t="inlineStr">
        <is>
          <t>H2 (2.5mo)</t>
        </is>
      </c>
      <c r="D4" s="7" t="inlineStr">
        <is>
          <t>H3 (12mo)</t>
        </is>
      </c>
      <c r="E4" s="7" t="inlineStr">
        <is>
          <t>Year 2</t>
        </is>
      </c>
      <c r="F4" s="7" t="inlineStr">
        <is>
          <t>Year 3</t>
        </is>
      </c>
      <c r="G4" s="7" t="inlineStr">
        <is>
          <t>Year 4</t>
        </is>
      </c>
    </row>
    <row r="6">
      <c r="A6" s="15" t="inlineStr">
        <is>
          <t>REVENUE</t>
        </is>
      </c>
    </row>
    <row r="7">
      <c r="A7" s="16" t="inlineStr">
        <is>
          <t>Monthly Active Users (MAU)</t>
        </is>
      </c>
      <c r="B7" s="9" t="n">
        <v>10000</v>
      </c>
      <c r="C7" s="9" t="n">
        <v>75000</v>
      </c>
      <c r="D7" s="9" t="n">
        <v>250000</v>
      </c>
      <c r="E7" s="9" t="n">
        <v>500000</v>
      </c>
      <c r="F7" s="9" t="n">
        <v>1000000</v>
      </c>
      <c r="G7" s="9" t="n">
        <v>2000000</v>
      </c>
    </row>
    <row r="8">
      <c r="A8" s="16" t="inlineStr">
        <is>
          <t>GMV per User (monthly)</t>
        </is>
      </c>
      <c r="B8" s="9" t="n">
        <v>400</v>
      </c>
      <c r="C8" s="9" t="n">
        <v>400</v>
      </c>
      <c r="D8" s="9" t="n">
        <v>400</v>
      </c>
      <c r="E8" s="9" t="n">
        <v>450</v>
      </c>
      <c r="F8" s="9" t="n">
        <v>500</v>
      </c>
      <c r="G8" s="9" t="n">
        <v>550</v>
      </c>
    </row>
    <row r="9">
      <c r="A9" s="16" t="inlineStr">
        <is>
          <t>Total GMV</t>
        </is>
      </c>
      <c r="B9" s="9" t="n">
        <v>2946400</v>
      </c>
      <c r="C9" s="9" t="n">
        <v>7500000</v>
      </c>
      <c r="D9" s="9" t="n">
        <v>120000000</v>
      </c>
      <c r="E9" s="9" t="n">
        <v>270000000</v>
      </c>
      <c r="F9" s="9" t="n">
        <v>600000000</v>
      </c>
      <c r="G9" s="9" t="n">
        <v>1320000000</v>
      </c>
    </row>
    <row r="10">
      <c r="A10" s="16" t="inlineStr"/>
    </row>
    <row r="11">
      <c r="A11" s="16" t="inlineStr">
        <is>
          <t>Merchant Fee Revenue (7.5%)</t>
        </is>
      </c>
      <c r="B11" s="9" t="n">
        <v>220980</v>
      </c>
      <c r="C11" s="9" t="n">
        <v>562500</v>
      </c>
      <c r="D11" s="9" t="n">
        <v>9000000</v>
      </c>
      <c r="E11" s="9" t="n">
        <v>20250000</v>
      </c>
      <c r="F11" s="9" t="n">
        <v>45000000</v>
      </c>
      <c r="G11" s="9" t="n">
        <v>99000000</v>
      </c>
    </row>
    <row r="12">
      <c r="A12" s="16" t="inlineStr">
        <is>
          <t>Other Revenue (H2+)</t>
        </is>
      </c>
      <c r="B12" s="9" t="n">
        <v>0</v>
      </c>
      <c r="C12" s="9" t="n">
        <v>0</v>
      </c>
      <c r="D12" s="9" t="n">
        <v>450000</v>
      </c>
      <c r="E12" s="9" t="n">
        <v>2025000</v>
      </c>
      <c r="F12" s="9" t="n">
        <v>6750000</v>
      </c>
      <c r="G12" s="9" t="n">
        <v>19800000</v>
      </c>
    </row>
    <row r="13">
      <c r="A13" s="16" t="inlineStr">
        <is>
          <t>Total Revenue</t>
        </is>
      </c>
      <c r="B13" s="9" t="n">
        <v>220980</v>
      </c>
      <c r="C13" s="9" t="n">
        <v>562500</v>
      </c>
      <c r="D13" s="9" t="n">
        <v>9450000</v>
      </c>
      <c r="E13" s="9" t="n">
        <v>22275000</v>
      </c>
      <c r="F13" s="9" t="n">
        <v>51750000</v>
      </c>
      <c r="G13" s="9" t="n">
        <v>118800000</v>
      </c>
    </row>
    <row r="14">
      <c r="A14" s="16" t="inlineStr"/>
    </row>
    <row r="15">
      <c r="A15" s="15" t="inlineStr">
        <is>
          <t>COSTS</t>
        </is>
      </c>
    </row>
    <row r="16">
      <c r="A16" s="16" t="inlineStr">
        <is>
          <t>Cost of Revenue (15%)</t>
        </is>
      </c>
      <c r="B16" s="9" t="n">
        <v>33147</v>
      </c>
      <c r="C16" s="9" t="n">
        <v>84375</v>
      </c>
      <c r="D16" s="9" t="n">
        <v>1417500</v>
      </c>
      <c r="E16" s="9" t="n">
        <v>3341250</v>
      </c>
      <c r="F16" s="9" t="n">
        <v>7762500</v>
      </c>
      <c r="G16" s="9" t="n">
        <v>17820000</v>
      </c>
    </row>
    <row r="17">
      <c r="A17" s="16" t="inlineStr">
        <is>
          <t>Gross Profit</t>
        </is>
      </c>
      <c r="B17" s="9" t="n">
        <v>187833</v>
      </c>
      <c r="C17" s="9" t="n">
        <v>478125</v>
      </c>
      <c r="D17" s="9" t="n">
        <v>8032500</v>
      </c>
      <c r="E17" s="9" t="n">
        <v>18933750</v>
      </c>
      <c r="F17" s="9" t="n">
        <v>43987500</v>
      </c>
      <c r="G17" s="9" t="n">
        <v>100980000</v>
      </c>
    </row>
    <row r="18">
      <c r="A18" s="16" t="inlineStr">
        <is>
          <t>Gross Margin %</t>
        </is>
      </c>
      <c r="B18" t="inlineStr">
        <is>
          <t>85%</t>
        </is>
      </c>
      <c r="C18" t="inlineStr">
        <is>
          <t>85%</t>
        </is>
      </c>
      <c r="D18" t="inlineStr">
        <is>
          <t>85%</t>
        </is>
      </c>
      <c r="E18" t="inlineStr">
        <is>
          <t>85%</t>
        </is>
      </c>
      <c r="F18" t="inlineStr">
        <is>
          <t>85%</t>
        </is>
      </c>
      <c r="G18" t="inlineStr">
        <is>
          <t>85%</t>
        </is>
      </c>
    </row>
    <row r="19">
      <c r="A19" s="16" t="inlineStr"/>
    </row>
    <row r="20">
      <c r="A20" s="15" t="inlineStr">
        <is>
          <t>OPERATING EXPENSES</t>
        </is>
      </c>
    </row>
    <row r="21">
      <c r="A21" s="16" t="inlineStr">
        <is>
          <t>Marketing &amp; CAC</t>
        </is>
      </c>
      <c r="B21" s="9" t="n">
        <v>363000</v>
      </c>
      <c r="C21" s="9" t="n">
        <v>750000</v>
      </c>
      <c r="D21" s="9" t="n">
        <v>7200000</v>
      </c>
      <c r="E21" s="9" t="n">
        <v>15000000</v>
      </c>
      <c r="F21" s="9" t="n">
        <v>30000000</v>
      </c>
      <c r="G21" s="9" t="n">
        <v>60000000</v>
      </c>
    </row>
    <row r="22">
      <c r="A22" s="16" t="inlineStr">
        <is>
          <t>Technology &amp; Infrastructure</t>
        </is>
      </c>
      <c r="B22" s="9" t="n">
        <v>121000</v>
      </c>
      <c r="C22" s="9" t="n">
        <v>250000</v>
      </c>
      <c r="D22" s="9" t="n">
        <v>2400000</v>
      </c>
      <c r="E22" s="9" t="n">
        <v>5000000</v>
      </c>
      <c r="F22" s="9" t="n">
        <v>10000000</v>
      </c>
      <c r="G22" s="9" t="n">
        <v>20000000</v>
      </c>
    </row>
    <row r="23">
      <c r="A23" s="16" t="inlineStr">
        <is>
          <t>Operations &amp; Overhead</t>
        </is>
      </c>
      <c r="B23" s="9" t="n">
        <v>121000</v>
      </c>
      <c r="C23" s="9" t="n">
        <v>250000</v>
      </c>
      <c r="D23" s="9" t="n">
        <v>2400000</v>
      </c>
      <c r="E23" s="9" t="n">
        <v>5000000</v>
      </c>
      <c r="F23" s="9" t="n">
        <v>10000000</v>
      </c>
      <c r="G23" s="9" t="n">
        <v>20000000</v>
      </c>
    </row>
    <row r="24">
      <c r="A24" s="16" t="inlineStr">
        <is>
          <t>Total Operating Expenses</t>
        </is>
      </c>
      <c r="B24" s="9" t="n">
        <v>605000</v>
      </c>
      <c r="C24" s="9" t="n">
        <v>1250000</v>
      </c>
      <c r="D24" s="9" t="n">
        <v>12000000</v>
      </c>
      <c r="E24" s="9" t="n">
        <v>25000000</v>
      </c>
      <c r="F24" s="9" t="n">
        <v>50000000</v>
      </c>
      <c r="G24" s="9" t="n">
        <v>100000000</v>
      </c>
    </row>
    <row r="25">
      <c r="A25" s="16" t="inlineStr"/>
    </row>
    <row r="26">
      <c r="A26" s="15" t="inlineStr">
        <is>
          <t>EBITDA</t>
        </is>
      </c>
      <c r="B26" s="9" t="n">
        <v>-417167</v>
      </c>
      <c r="C26" s="9" t="n">
        <v>-771875</v>
      </c>
      <c r="D26" s="9" t="n">
        <v>-3967500</v>
      </c>
      <c r="E26" s="9" t="n">
        <v>-6066250</v>
      </c>
      <c r="F26" s="9" t="n">
        <v>-6012500</v>
      </c>
      <c r="G26" s="9" t="n">
        <v>980000</v>
      </c>
    </row>
    <row r="27">
      <c r="A27" s="16" t="inlineStr">
        <is>
          <t>EBITDA Margin %</t>
        </is>
      </c>
      <c r="B27" t="inlineStr">
        <is>
          <t>-189%</t>
        </is>
      </c>
      <c r="C27" t="inlineStr">
        <is>
          <t>-137%</t>
        </is>
      </c>
      <c r="D27" t="inlineStr">
        <is>
          <t>-42%</t>
        </is>
      </c>
      <c r="E27" t="inlineStr">
        <is>
          <t>-27%</t>
        </is>
      </c>
      <c r="F27" t="inlineStr">
        <is>
          <t>-12%</t>
        </is>
      </c>
      <c r="G27" t="inlineStr">
        <is>
          <t>1%</t>
        </is>
      </c>
    </row>
    <row r="28">
      <c r="A28" s="16" t="inlineStr"/>
    </row>
    <row r="29">
      <c r="A29" s="15" t="inlineStr">
        <is>
          <t>NET PROFIT/(LOSS)</t>
        </is>
      </c>
      <c r="B29" s="9" t="n">
        <v>-417167</v>
      </c>
      <c r="C29" s="9" t="n">
        <v>-771875</v>
      </c>
      <c r="D29" s="9" t="n">
        <v>-3967500</v>
      </c>
      <c r="E29" s="9" t="n">
        <v>-6066250</v>
      </c>
      <c r="F29" s="9" t="n">
        <v>-6012500</v>
      </c>
      <c r="G29" s="9" t="n">
        <v>980000</v>
      </c>
    </row>
    <row r="30">
      <c r="A30" s="16" t="inlineStr">
        <is>
          <t>Net Margin %</t>
        </is>
      </c>
      <c r="B30" t="inlineStr">
        <is>
          <t>-189%</t>
        </is>
      </c>
      <c r="C30" t="inlineStr">
        <is>
          <t>-137%</t>
        </is>
      </c>
      <c r="D30" t="inlineStr">
        <is>
          <t>-42%</t>
        </is>
      </c>
      <c r="E30" t="inlineStr">
        <is>
          <t>-27%</t>
        </is>
      </c>
      <c r="F30" t="inlineStr">
        <is>
          <t>-12%</t>
        </is>
      </c>
      <c r="G30" t="inlineStr">
        <is>
          <t>1%</t>
        </is>
      </c>
    </row>
    <row r="31">
      <c r="A31" s="16" t="inlineStr"/>
    </row>
    <row r="32">
      <c r="A32" s="15" t="inlineStr">
        <is>
          <t>UNIT ECONOMICS CHECK</t>
        </is>
      </c>
    </row>
    <row r="33">
      <c r="A33" s="16" t="inlineStr">
        <is>
          <t>LTV (12-mo retention)</t>
        </is>
      </c>
      <c r="B33" s="9" t="n">
        <v>360</v>
      </c>
      <c r="C33" s="9" t="n">
        <v>360</v>
      </c>
      <c r="D33" s="9" t="n">
        <v>360</v>
      </c>
      <c r="E33" s="9" t="n">
        <v>405</v>
      </c>
      <c r="F33" s="9" t="n">
        <v>450</v>
      </c>
      <c r="G33" s="9" t="n">
        <v>495</v>
      </c>
    </row>
    <row r="34">
      <c r="A34" s="16" t="inlineStr">
        <is>
          <t>Blended CAC</t>
        </is>
      </c>
      <c r="B34" s="9" t="n">
        <v>36</v>
      </c>
      <c r="C34" s="9" t="n">
        <v>40</v>
      </c>
      <c r="D34" s="9" t="n">
        <v>29</v>
      </c>
      <c r="E34" s="9" t="n">
        <v>30</v>
      </c>
      <c r="F34" s="9" t="n">
        <v>30</v>
      </c>
      <c r="G34" s="9" t="n">
        <v>30</v>
      </c>
    </row>
    <row r="35">
      <c r="A35" s="16" t="inlineStr">
        <is>
          <t>LTV:CAC Ratio</t>
        </is>
      </c>
      <c r="B35" s="17" t="inlineStr">
        <is>
          <t>10.0x</t>
        </is>
      </c>
      <c r="C35" s="17" t="inlineStr">
        <is>
          <t>9.0x</t>
        </is>
      </c>
      <c r="D35" s="17" t="inlineStr">
        <is>
          <t>12.4x</t>
        </is>
      </c>
      <c r="E35" s="17" t="inlineStr">
        <is>
          <t>13.5x</t>
        </is>
      </c>
      <c r="F35" s="17" t="inlineStr">
        <is>
          <t>15.0x</t>
        </is>
      </c>
      <c r="G35" s="17" t="inlineStr">
        <is>
          <t>16.5x</t>
        </is>
      </c>
    </row>
    <row r="36">
      <c r="A36" s="16" t="inlineStr"/>
    </row>
    <row r="37">
      <c r="A37" s="15" t="inlineStr">
        <is>
          <t>CASH FLOW</t>
        </is>
      </c>
    </row>
    <row r="38">
      <c r="A38" s="16" t="inlineStr">
        <is>
          <t>Cash from Operations</t>
        </is>
      </c>
      <c r="B38" s="9" t="n">
        <v>-417167</v>
      </c>
      <c r="C38" s="9" t="n">
        <v>-771875</v>
      </c>
      <c r="D38" s="9" t="n">
        <v>-3967500</v>
      </c>
      <c r="E38" s="9" t="n">
        <v>-6066250</v>
      </c>
      <c r="F38" s="9" t="n">
        <v>-6012500</v>
      </c>
      <c r="G38" s="9" t="n">
        <v>980000</v>
      </c>
    </row>
    <row r="39">
      <c r="A39" s="16" t="inlineStr"/>
    </row>
    <row r="40">
      <c r="A40" s="15" t="inlineStr">
        <is>
          <t>FUNDING REQUIREMENT</t>
        </is>
      </c>
    </row>
    <row r="41">
      <c r="A41" s="16" t="inlineStr">
        <is>
          <t>H1 Funding (SAFE - $300K)</t>
        </is>
      </c>
      <c r="B41" s="9" t="n">
        <v>1101000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</row>
    <row r="42">
      <c r="A42" s="16" t="inlineStr">
        <is>
          <t>H2 Funding Required</t>
        </is>
      </c>
      <c r="B42" s="9" t="n">
        <v>0</v>
      </c>
      <c r="C42" s="9" t="n">
        <v>1200000</v>
      </c>
      <c r="D42" s="9" t="n">
        <v>0</v>
      </c>
      <c r="E42" s="9" t="n">
        <v>0</v>
      </c>
      <c r="F42" s="9" t="n">
        <v>0</v>
      </c>
      <c r="G42" s="9" t="n">
        <v>0</v>
      </c>
    </row>
    <row r="43">
      <c r="A43" s="16" t="inlineStr">
        <is>
          <t>Series A (Year 2)</t>
        </is>
      </c>
      <c r="B43" s="9" t="n">
        <v>0</v>
      </c>
      <c r="C43" s="9" t="n">
        <v>0</v>
      </c>
      <c r="D43" s="9" t="n">
        <v>5000000</v>
      </c>
      <c r="E43" s="9" t="n">
        <v>0</v>
      </c>
      <c r="F43" s="9" t="n">
        <v>0</v>
      </c>
      <c r="G43" s="9" t="n">
        <v>0</v>
      </c>
    </row>
    <row r="44">
      <c r="A44" s="16" t="inlineStr">
        <is>
          <t>Total Funding</t>
        </is>
      </c>
      <c r="B44" s="9" t="n">
        <v>1101000</v>
      </c>
      <c r="C44" s="9" t="n">
        <v>1200000</v>
      </c>
      <c r="D44" s="9" t="n">
        <v>5000000</v>
      </c>
      <c r="E44" s="9" t="n">
        <v>0</v>
      </c>
      <c r="F44" s="9" t="n">
        <v>0</v>
      </c>
      <c r="G44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CUSTOMER ACQUISITION COST (CAC) BREAKDOWN</t>
        </is>
      </c>
    </row>
    <row r="2">
      <c r="A2" t="inlineStr">
        <is>
          <t>H1 Strategy: Merchant QR (Primary) + Student Ambassadors (Secondary)</t>
        </is>
      </c>
    </row>
    <row r="4">
      <c r="A4" s="5" t="inlineStr">
        <is>
          <t>CHANNEL MIX (H1 - First 5 Months)</t>
        </is>
      </c>
    </row>
    <row r="6">
      <c r="A6" s="6" t="inlineStr">
        <is>
          <t>Channel</t>
        </is>
      </c>
      <c r="B6" s="6" t="inlineStr">
        <is>
          <t>Monthly Budget</t>
        </is>
      </c>
      <c r="C6" s="6" t="inlineStr">
        <is>
          <t>Expected Users</t>
        </is>
      </c>
      <c r="D6" s="6" t="inlineStr">
        <is>
          <t>CAC</t>
        </is>
      </c>
      <c r="E6" s="6" t="inlineStr">
        <is>
          <t>% of Total</t>
        </is>
      </c>
      <c r="F6" s="6" t="inlineStr">
        <is>
          <t>Notes</t>
        </is>
      </c>
    </row>
    <row r="7">
      <c r="A7" t="inlineStr">
        <is>
          <t>Merchant QR (Primary)</t>
        </is>
      </c>
      <c r="B7" s="9" t="n">
        <v>43560</v>
      </c>
      <c r="C7" s="9" t="n">
        <v>2904</v>
      </c>
      <c r="D7" t="n">
        <v>15</v>
      </c>
      <c r="E7" t="inlineStr">
        <is>
          <t>60%</t>
        </is>
      </c>
      <c r="F7" t="inlineStr">
        <is>
          <t>50 merchants × AED 5/mo × 12 users/merchant</t>
        </is>
      </c>
    </row>
    <row r="8">
      <c r="A8" t="inlineStr">
        <is>
          <t>Student Ambassadors</t>
        </is>
      </c>
      <c r="B8" s="9" t="n">
        <v>29040</v>
      </c>
      <c r="C8" s="9" t="n">
        <v>968</v>
      </c>
      <c r="D8" t="n">
        <v>30</v>
      </c>
      <c r="E8" t="inlineStr">
        <is>
          <t>40%</t>
        </is>
      </c>
      <c r="F8" t="inlineStr">
        <is>
          <t>10 ambassadors × AED 500/mo + AED 10/user</t>
        </is>
      </c>
    </row>
    <row r="9">
      <c r="A9" t="inlineStr">
        <is>
          <t>Digital (Gated - Not in H1)</t>
        </is>
      </c>
      <c r="B9" s="9" t="n">
        <v>0</v>
      </c>
      <c r="C9" s="9" t="n">
        <v>0</v>
      </c>
      <c r="D9" t="n">
        <v>70</v>
      </c>
      <c r="E9" t="inlineStr">
        <is>
          <t>0%</t>
        </is>
      </c>
      <c r="F9" t="inlineStr">
        <is>
          <t>Only after 5K MAU + 35% retention</t>
        </is>
      </c>
    </row>
    <row r="10">
      <c r="A10" s="18" t="inlineStr">
        <is>
          <t>TOTAL BLENDED</t>
        </is>
      </c>
      <c r="B10" s="19" t="n">
        <v>72600</v>
      </c>
      <c r="C10" s="19" t="n">
        <v>3872</v>
      </c>
      <c r="D10" s="19">
        <f>B7/C7</f>
        <v/>
      </c>
      <c r="E10" s="18" t="inlineStr">
        <is>
          <t>100%</t>
        </is>
      </c>
      <c r="F10" s="18" t="inlineStr">
        <is>
          <t>Target: AED 30-40</t>
        </is>
      </c>
    </row>
    <row r="13">
      <c r="A13" s="5" t="inlineStr">
        <is>
          <t>MERCHANT QR FUNNEL (Primary Channel)</t>
        </is>
      </c>
    </row>
    <row r="15">
      <c r="A15" s="6" t="inlineStr">
        <is>
          <t>Step</t>
        </is>
      </c>
      <c r="B15" s="6" t="inlineStr">
        <is>
          <t>Conversion Rate</t>
        </is>
      </c>
      <c r="C15" s="6" t="inlineStr">
        <is>
          <t>Example Calculation</t>
        </is>
      </c>
      <c r="D15" s="6" t="inlineStr">
        <is>
          <t>Monthly Output</t>
        </is>
      </c>
    </row>
    <row r="16">
      <c r="A16" t="inlineStr">
        <is>
          <t>1. Diners Exposed</t>
        </is>
      </c>
      <c r="B16" t="inlineStr">
        <is>
          <t>100%</t>
        </is>
      </c>
      <c r="C16" t="inlineStr">
        <is>
          <t>50 merchants × 40 diners/day × 30 days</t>
        </is>
      </c>
      <c r="D16" s="9" t="n">
        <v>60000</v>
      </c>
    </row>
    <row r="17">
      <c r="A17" t="inlineStr">
        <is>
          <t>2. QR Scans</t>
        </is>
      </c>
      <c r="B17" t="inlineStr">
        <is>
          <t>2%</t>
        </is>
      </c>
      <c r="C17" t="inlineStr">
        <is>
          <t>60,000 × 2% scan rate</t>
        </is>
      </c>
      <c r="D17" s="9" t="n">
        <v>1200</v>
      </c>
    </row>
    <row r="18">
      <c r="A18" t="inlineStr">
        <is>
          <t>3. App Downloads</t>
        </is>
      </c>
      <c r="B18" t="inlineStr">
        <is>
          <t>20%</t>
        </is>
      </c>
      <c r="C18" t="inlineStr">
        <is>
          <t>1,200 scans × 20% download rate</t>
        </is>
      </c>
      <c r="D18" s="9" t="n">
        <v>240</v>
      </c>
    </row>
    <row r="19">
      <c r="A19" t="inlineStr">
        <is>
          <t>4. Signups</t>
        </is>
      </c>
      <c r="B19" t="inlineStr">
        <is>
          <t>80%</t>
        </is>
      </c>
      <c r="C19" t="inlineStr">
        <is>
          <t>240 downloads × 80% signup rate</t>
        </is>
      </c>
      <c r="D19" s="9" t="n">
        <v>192</v>
      </c>
    </row>
    <row r="20">
      <c r="A20" t="inlineStr">
        <is>
          <t>5. First Transaction (Activated)</t>
        </is>
      </c>
      <c r="B20" t="inlineStr">
        <is>
          <t>40%</t>
        </is>
      </c>
      <c r="C20" t="inlineStr">
        <is>
          <t>192 signups × 40% activation rate</t>
        </is>
      </c>
      <c r="D20" s="9">
        <f>C19*D19</f>
        <v/>
      </c>
    </row>
    <row r="22">
      <c r="A22" s="15" t="inlineStr">
        <is>
          <t>Resulting CAC:</t>
        </is>
      </c>
      <c r="B22" t="inlineStr">
        <is>
          <t>50 merchants × AED 5/mo = AED 250</t>
        </is>
      </c>
    </row>
    <row r="23">
      <c r="B23" t="inlineStr">
        <is>
          <t>77 activated users/month</t>
        </is>
      </c>
    </row>
    <row r="24">
      <c r="B24" s="20" t="inlineStr">
        <is>
          <t>CAC = AED 250 / 77 = AED 3.25... wait, that's too low!</t>
        </is>
      </c>
    </row>
    <row r="26">
      <c r="A26" s="20" t="inlineStr">
        <is>
          <t>⚠️ CORRECTION: Need to account for TOTAL marketing budget, not just merchant incentives</t>
        </is>
      </c>
    </row>
    <row r="27">
      <c r="B27" t="inlineStr">
        <is>
          <t>Total CAC budget (60% of AED 121K burn) = AED 72.6K/month</t>
        </is>
      </c>
    </row>
    <row r="28">
      <c r="B28" t="inlineStr">
        <is>
          <t>If we acquire ~2,000 users/month (conservative ramp)</t>
        </is>
      </c>
    </row>
    <row r="29">
      <c r="B29" t="inlineStr">
        <is>
          <t>Blended CAC = AED 72,600 / 2,000 = AED 36.3 (within AED 30-40 target)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SENSITIVITY ANALYSIS - LTV:CAC SCENARIOS</t>
        </is>
      </c>
    </row>
    <row r="2">
      <c r="A2" t="inlineStr">
        <is>
          <t>What if our assumptions are wrong?</t>
        </is>
      </c>
    </row>
    <row r="4">
      <c r="A4" s="5" t="inlineStr">
        <is>
          <t>RETENTION SENSITIVITY</t>
        </is>
      </c>
    </row>
    <row r="6">
      <c r="A6" s="6" t="inlineStr">
        <is>
          <t>Scenario</t>
        </is>
      </c>
      <c r="B6" s="6" t="inlineStr">
        <is>
          <t>Avg Retention</t>
        </is>
      </c>
      <c r="C6" s="6" t="inlineStr">
        <is>
          <t>Monthly RPU</t>
        </is>
      </c>
      <c r="D6" s="6" t="inlineStr">
        <is>
          <t>LTV</t>
        </is>
      </c>
      <c r="E6" s="6" t="inlineStr">
        <is>
          <t>CAC</t>
        </is>
      </c>
      <c r="F6" s="6" t="inlineStr">
        <is>
          <t>LTV:CAC</t>
        </is>
      </c>
      <c r="G6" s="6" t="inlineStr">
        <is>
          <t>Verdict</t>
        </is>
      </c>
    </row>
    <row r="7">
      <c r="A7" s="4" t="inlineStr">
        <is>
          <t>Downside (50% churn)</t>
        </is>
      </c>
      <c r="B7" t="inlineStr">
        <is>
          <t>6 months</t>
        </is>
      </c>
      <c r="C7" t="inlineStr">
        <is>
          <t>AED 30</t>
        </is>
      </c>
      <c r="D7" t="inlineStr">
        <is>
          <t>AED 180</t>
        </is>
      </c>
      <c r="E7" t="inlineStr">
        <is>
          <t>AED 35</t>
        </is>
      </c>
      <c r="F7" t="inlineStr">
        <is>
          <t>5.1x</t>
        </is>
      </c>
      <c r="G7" t="inlineStr">
        <is>
          <t>Still above 3x benchmark ✓</t>
        </is>
      </c>
    </row>
    <row r="8">
      <c r="A8" s="3" t="inlineStr">
        <is>
          <t>Conservative (H1 realistic)</t>
        </is>
      </c>
      <c r="B8" t="inlineStr">
        <is>
          <t>8 months</t>
        </is>
      </c>
      <c r="C8" t="inlineStr">
        <is>
          <t>AED 30</t>
        </is>
      </c>
      <c r="D8" t="inlineStr">
        <is>
          <t>AED 240</t>
        </is>
      </c>
      <c r="E8" t="inlineStr">
        <is>
          <t>AED 35</t>
        </is>
      </c>
      <c r="F8" t="inlineStr">
        <is>
          <t>6.9x</t>
        </is>
      </c>
      <c r="G8" t="inlineStr">
        <is>
          <t>Excellent by SaaS standards ✓</t>
        </is>
      </c>
    </row>
    <row r="9">
      <c r="A9" s="2" t="inlineStr">
        <is>
          <t>Base Case (Pitch Deck)</t>
        </is>
      </c>
      <c r="B9" t="inlineStr">
        <is>
          <t>12 months</t>
        </is>
      </c>
      <c r="C9" t="inlineStr">
        <is>
          <t>AED 30</t>
        </is>
      </c>
      <c r="D9" t="inlineStr">
        <is>
          <t>AED 360</t>
        </is>
      </c>
      <c r="E9" t="inlineStr">
        <is>
          <t>AED 35</t>
        </is>
      </c>
      <c r="F9" t="inlineStr">
        <is>
          <t>10.3x</t>
        </is>
      </c>
      <c r="G9" t="inlineStr">
        <is>
          <t>H1 gate target ✓✓</t>
        </is>
      </c>
    </row>
    <row r="10">
      <c r="A10" t="inlineStr">
        <is>
          <t>With 3% Fraud</t>
        </is>
      </c>
      <c r="B10" t="inlineStr">
        <is>
          <t>12 months</t>
        </is>
      </c>
      <c r="C10" t="inlineStr">
        <is>
          <t>AED 30</t>
        </is>
      </c>
      <c r="D10" t="inlineStr">
        <is>
          <t>AED 319</t>
        </is>
      </c>
      <c r="E10" t="inlineStr">
        <is>
          <t>AED 35</t>
        </is>
      </c>
      <c r="F10" t="inlineStr">
        <is>
          <t>9.1x</t>
        </is>
      </c>
      <c r="G10" t="inlineStr">
        <is>
          <t>Post-fraud mitigation ✓✓</t>
        </is>
      </c>
    </row>
    <row r="11">
      <c r="A11" t="inlineStr">
        <is>
          <t>Optimistic (18-month)</t>
        </is>
      </c>
      <c r="B11" t="inlineStr">
        <is>
          <t>18 months</t>
        </is>
      </c>
      <c r="C11" t="inlineStr">
        <is>
          <t>AED 30</t>
        </is>
      </c>
      <c r="D11" t="inlineStr">
        <is>
          <t>AED 540</t>
        </is>
      </c>
      <c r="E11" t="inlineStr">
        <is>
          <t>AED 35</t>
        </is>
      </c>
      <c r="F11" t="inlineStr">
        <is>
          <t>15.4x</t>
        </is>
      </c>
      <c r="G11" t="inlineStr">
        <is>
          <t>World-class ✓✓✓</t>
        </is>
      </c>
    </row>
    <row r="14">
      <c r="A14" s="5" t="inlineStr">
        <is>
          <t>CAC SENSITIVITY</t>
        </is>
      </c>
    </row>
    <row r="16">
      <c r="A16" s="6" t="inlineStr">
        <is>
          <t>Scenario</t>
        </is>
      </c>
      <c r="B16" s="6" t="inlineStr">
        <is>
          <t>Blended CAC</t>
        </is>
      </c>
      <c r="C16" s="6" t="inlineStr">
        <is>
          <t>LTV (12-mo)</t>
        </is>
      </c>
      <c r="D16" s="6" t="inlineStr">
        <is>
          <t>LTV:CAC</t>
        </is>
      </c>
      <c r="E16" s="6" t="inlineStr">
        <is>
          <t>Monthly Users Acquired</t>
        </is>
      </c>
      <c r="F16" s="6" t="inlineStr">
        <is>
          <t>Monthly Budget</t>
        </is>
      </c>
    </row>
    <row r="17">
      <c r="A17" t="inlineStr">
        <is>
          <t>Optimistic (Better QR conversion)</t>
        </is>
      </c>
      <c r="B17" t="inlineStr">
        <is>
          <t>AED 25</t>
        </is>
      </c>
      <c r="C17" t="inlineStr">
        <is>
          <t>AED 360</t>
        </is>
      </c>
      <c r="D17" t="inlineStr">
        <is>
          <t>14.4x</t>
        </is>
      </c>
      <c r="E17" s="9" t="n">
        <v>2904</v>
      </c>
      <c r="F17" t="inlineStr">
        <is>
          <t>AED 72,600</t>
        </is>
      </c>
    </row>
    <row r="18">
      <c r="A18" t="inlineStr">
        <is>
          <t>Base Case (Pitch Deck)</t>
        </is>
      </c>
      <c r="B18" t="inlineStr">
        <is>
          <t>AED 35</t>
        </is>
      </c>
      <c r="C18" t="inlineStr">
        <is>
          <t>AED 360</t>
        </is>
      </c>
      <c r="D18" t="inlineStr">
        <is>
          <t>10.3x</t>
        </is>
      </c>
      <c r="E18" s="9" t="n">
        <v>2075</v>
      </c>
      <c r="F18" t="inlineStr">
        <is>
          <t>AED 72,600</t>
        </is>
      </c>
    </row>
    <row r="19">
      <c r="A19" t="inlineStr">
        <is>
          <t>Conservative (Need more ambassadors)</t>
        </is>
      </c>
      <c r="B19" t="inlineStr">
        <is>
          <t>AED 50</t>
        </is>
      </c>
      <c r="C19" t="inlineStr">
        <is>
          <t>AED 360</t>
        </is>
      </c>
      <c r="D19" t="inlineStr">
        <is>
          <t>7.2x</t>
        </is>
      </c>
      <c r="E19" s="9" t="n">
        <v>1452</v>
      </c>
      <c r="F19" t="inlineStr">
        <is>
          <t>AED 72,600</t>
        </is>
      </c>
    </row>
    <row r="20">
      <c r="A20" t="inlineStr">
        <is>
          <t>Pessimistic (Digital ads needed)</t>
        </is>
      </c>
      <c r="B20" t="inlineStr">
        <is>
          <t>AED 70</t>
        </is>
      </c>
      <c r="C20" t="inlineStr">
        <is>
          <t>AED 360</t>
        </is>
      </c>
      <c r="D20" t="inlineStr">
        <is>
          <t>5.1x</t>
        </is>
      </c>
      <c r="E20" s="9" t="n">
        <v>1037</v>
      </c>
      <c r="F20" t="inlineStr">
        <is>
          <t>AED 72,600</t>
        </is>
      </c>
    </row>
    <row r="23">
      <c r="A23" s="5" t="inlineStr">
        <is>
          <t>DECISION MATRIX: WHEN TO SCALE TO H2</t>
        </is>
      </c>
    </row>
    <row r="25">
      <c r="A25" s="6" t="inlineStr">
        <is>
          <t>LTV:CAC</t>
        </is>
      </c>
      <c r="B25" s="6" t="inlineStr">
        <is>
          <t>D30 Retention</t>
        </is>
      </c>
      <c r="C25" s="6" t="inlineStr">
        <is>
          <t>MAU</t>
        </is>
      </c>
      <c r="D25" s="6" t="inlineStr">
        <is>
          <t>Decision</t>
        </is>
      </c>
    </row>
    <row r="26">
      <c r="A26" t="inlineStr">
        <is>
          <t>≥ 8x</t>
        </is>
      </c>
      <c r="B26" t="inlineStr">
        <is>
          <t>≥ 25%</t>
        </is>
      </c>
      <c r="C26" t="inlineStr">
        <is>
          <t>≥ 10,000</t>
        </is>
      </c>
      <c r="D26" s="2" t="inlineStr">
        <is>
          <t>✅ SCALE TO H2 (Green light)</t>
        </is>
      </c>
    </row>
    <row r="27">
      <c r="A27" t="inlineStr">
        <is>
          <t>5-8x</t>
        </is>
      </c>
      <c r="B27" t="inlineStr">
        <is>
          <t>20-25%</t>
        </is>
      </c>
      <c r="C27" t="inlineStr">
        <is>
          <t>7,000-10,000</t>
        </is>
      </c>
      <c r="D27" s="3" t="inlineStr">
        <is>
          <t>⚠️ ITERATE (Fix retention before scaling)</t>
        </is>
      </c>
    </row>
    <row r="28">
      <c r="A28" t="inlineStr">
        <is>
          <t>&lt; 5x</t>
        </is>
      </c>
      <c r="B28" t="inlineStr">
        <is>
          <t>&lt; 20%</t>
        </is>
      </c>
      <c r="C28" t="inlineStr">
        <is>
          <t>&lt; 7,000</t>
        </is>
      </c>
      <c r="D28" s="4" t="inlineStr">
        <is>
          <t>🛑 PIVOT (Economics don't work, rethink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2026-01-29T10:20:27Z</dcterms:created>
  <dcterms:modified xsi:type="dcterms:W3CDTF">2026-01-29T10:23:17Z</dcterms:modified>
</cp:coreProperties>
</file>