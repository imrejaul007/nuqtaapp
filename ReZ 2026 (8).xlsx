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l Dashboard" sheetId="1" r:id="rId5"/>
    <sheet state="visible" name="Monthly BrakeDown" sheetId="2" r:id="rId6"/>
    <sheet state="visible" name="Income Statement" sheetId="3" r:id="rId7"/>
    <sheet state="visible" name="Assumptions" sheetId="4" r:id="rId8"/>
    <sheet state="visible" name="Customer Acquisition" sheetId="5" r:id="rId9"/>
    <sheet state="visible" name="Charts" sheetId="6" r:id="rId10"/>
  </sheets>
  <definedNames/>
  <calcPr/>
</workbook>
</file>

<file path=xl/sharedStrings.xml><?xml version="1.0" encoding="utf-8"?>
<sst xmlns="http://schemas.openxmlformats.org/spreadsheetml/2006/main" count="300" uniqueCount="207">
  <si>
    <t>Startup</t>
  </si>
  <si>
    <t>Minor Financial Projections for a pitch deck</t>
  </si>
  <si>
    <t>Legend</t>
  </si>
  <si>
    <t>Provided by client</t>
  </si>
  <si>
    <t>Assumed</t>
  </si>
  <si>
    <t>Note: Can be changed</t>
  </si>
  <si>
    <t>Calculated</t>
  </si>
  <si>
    <t>Note: Should not be changed</t>
  </si>
  <si>
    <t>Total Increase in Revenue</t>
  </si>
  <si>
    <t>Financials</t>
  </si>
  <si>
    <t xml:space="preserve">Income statement projection 
</t>
  </si>
  <si>
    <t>Revenue *</t>
  </si>
  <si>
    <t>Assumtion data</t>
  </si>
  <si>
    <t>1st Month</t>
  </si>
  <si>
    <t>2nd</t>
  </si>
  <si>
    <t>3rd</t>
  </si>
  <si>
    <t>4th</t>
  </si>
  <si>
    <t>5th</t>
  </si>
  <si>
    <t>6th</t>
  </si>
  <si>
    <t>Next Phase</t>
  </si>
  <si>
    <t>7th</t>
  </si>
  <si>
    <t>8th</t>
  </si>
  <si>
    <t>9th</t>
  </si>
  <si>
    <t>10th</t>
  </si>
  <si>
    <t>11th</t>
  </si>
  <si>
    <t>12th</t>
  </si>
  <si>
    <t>Year 1</t>
  </si>
  <si>
    <t>Year 2</t>
  </si>
  <si>
    <t>Year 3</t>
  </si>
  <si>
    <t>Total number of New users</t>
  </si>
  <si>
    <t>Total Active users</t>
  </si>
  <si>
    <t>Monthly Grow Rate</t>
  </si>
  <si>
    <t>Churn Rate</t>
  </si>
  <si>
    <t>Active Rate</t>
  </si>
  <si>
    <t>Total Downloads</t>
  </si>
  <si>
    <t>Total User</t>
  </si>
  <si>
    <t>MAU</t>
  </si>
  <si>
    <t>Number of new Business on app</t>
  </si>
  <si>
    <t>Annual Grow Rate</t>
  </si>
  <si>
    <t>Churn rate</t>
  </si>
  <si>
    <t>Paid Business Subscriber</t>
  </si>
  <si>
    <t>No of City</t>
  </si>
  <si>
    <t>Number of active new business users</t>
  </si>
  <si>
    <t>Commission on Sales</t>
  </si>
  <si>
    <t>Promoted Sales (5%)</t>
  </si>
  <si>
    <t>Business Subscription</t>
  </si>
  <si>
    <t>Cash Store Afilates Commission</t>
  </si>
  <si>
    <t>Subscription</t>
  </si>
  <si>
    <t>Total Revenue</t>
  </si>
  <si>
    <t>Expenses</t>
  </si>
  <si>
    <t>Next Phase Estimate</t>
  </si>
  <si>
    <t xml:space="preserve">Rent and office Expenses </t>
  </si>
  <si>
    <t>Team Building &amp; Legal</t>
  </si>
  <si>
    <t>Customer Support Costs</t>
  </si>
  <si>
    <t>Technology &amp; Infrastructure Costs</t>
  </si>
  <si>
    <t>Business Development &amp; Partnerships</t>
  </si>
  <si>
    <t>Marketing &amp; User Acquisition:</t>
  </si>
  <si>
    <t>Total Expenses</t>
  </si>
  <si>
    <t>Net</t>
  </si>
  <si>
    <t>Cash In hand (if budget is fixed)</t>
  </si>
  <si>
    <t>Surplus cash (can be used for next month)</t>
  </si>
  <si>
    <t>Additional budget for Markeitng (next month)</t>
  </si>
  <si>
    <t>Additional budget for BD (next month)</t>
  </si>
  <si>
    <t>Final Cash Left (after additional use)</t>
  </si>
  <si>
    <t>Marketing budget Fixed</t>
  </si>
  <si>
    <t xml:space="preserve">Additional budget for Markeitng ( multiple) </t>
  </si>
  <si>
    <t>Percentage used in marketing (surplus)</t>
  </si>
  <si>
    <t>Business Development Fixed Cost</t>
  </si>
  <si>
    <t xml:space="preserve">Additional budget for bd ( multiple) </t>
  </si>
  <si>
    <t>Percentage used in BD (surplus)</t>
  </si>
  <si>
    <t>Fixed Cost</t>
  </si>
  <si>
    <t>Variable Cost</t>
  </si>
  <si>
    <t>Gross Margin (%)</t>
  </si>
  <si>
    <t xml:space="preserve">Gross Margin </t>
  </si>
  <si>
    <t>Net Profit Margin</t>
  </si>
  <si>
    <t>Contribution Margin</t>
  </si>
  <si>
    <t>CM per User</t>
  </si>
  <si>
    <t>Break Even Point</t>
  </si>
  <si>
    <t>CMGR</t>
  </si>
  <si>
    <t>ARR</t>
  </si>
  <si>
    <t>MRR / ARR</t>
  </si>
  <si>
    <t>GMV (Est.)</t>
  </si>
  <si>
    <t>Rule of 40</t>
  </si>
  <si>
    <t xml:space="preserve">TAM </t>
  </si>
  <si>
    <t>SAM</t>
  </si>
  <si>
    <t>SOM</t>
  </si>
  <si>
    <t>CAC</t>
  </si>
  <si>
    <t>LTV</t>
  </si>
  <si>
    <t>LTV : CAC</t>
  </si>
  <si>
    <t>CAC Payback Days</t>
  </si>
  <si>
    <t>Take Rate</t>
  </si>
  <si>
    <t>ARPU</t>
  </si>
  <si>
    <t>Burn Rate</t>
  </si>
  <si>
    <t>Burn Multiple</t>
  </si>
  <si>
    <t>Magic Number</t>
  </si>
  <si>
    <t>DAU / MAU</t>
  </si>
  <si>
    <t>Logo Churn</t>
  </si>
  <si>
    <t>Runway</t>
  </si>
  <si>
    <t>NRR</t>
  </si>
  <si>
    <t xml:space="preserve"> </t>
  </si>
  <si>
    <t>Income statement projection</t>
  </si>
  <si>
    <t>(  values in ₹)</t>
  </si>
  <si>
    <t>AOV</t>
  </si>
  <si>
    <t>ACU</t>
  </si>
  <si>
    <t>Revenue</t>
  </si>
  <si>
    <t>Affiliate</t>
  </si>
  <si>
    <t>Finance</t>
  </si>
  <si>
    <t>B2B Buying</t>
  </si>
  <si>
    <t xml:space="preserve">Expenses </t>
  </si>
  <si>
    <t>Total Active User</t>
  </si>
  <si>
    <t>CAC (Active User)</t>
  </si>
  <si>
    <t>Annual ARPU</t>
  </si>
  <si>
    <t>₹5,814.32</t>
  </si>
  <si>
    <t>₹879.71</t>
  </si>
  <si>
    <t>₹785.90</t>
  </si>
  <si>
    <t>Payback Period</t>
  </si>
  <si>
    <t xml:space="preserve">Total expenses </t>
  </si>
  <si>
    <t>Gross Earning before taxes</t>
  </si>
  <si>
    <t xml:space="preserve">Taxes </t>
  </si>
  <si>
    <t>Net Profit after tax</t>
  </si>
  <si>
    <t>Profitability</t>
  </si>
  <si>
    <t>EBITDA</t>
  </si>
  <si>
    <t>Valuation  (INR)</t>
  </si>
  <si>
    <t>USD</t>
  </si>
  <si>
    <t xml:space="preserve">Assumptions
</t>
  </si>
  <si>
    <r>
      <rPr>
        <rFont val="Lato"/>
        <b/>
        <color rgb="FF000000"/>
        <sz val="10.0"/>
      </rPr>
      <t xml:space="preserve">Income Statement
</t>
    </r>
    <r>
      <rPr>
        <rFont val="Lato"/>
        <b val="0"/>
        <color rgb="FF000000"/>
        <sz val="8.0"/>
      </rPr>
      <t>( values in  INR )</t>
    </r>
  </si>
  <si>
    <t>Phase 1</t>
  </si>
  <si>
    <t>Phase 2</t>
  </si>
  <si>
    <t>Cash</t>
  </si>
  <si>
    <t>Funding</t>
  </si>
  <si>
    <t xml:space="preserve">Funding </t>
  </si>
  <si>
    <t>Total</t>
  </si>
  <si>
    <t>Monthly</t>
  </si>
  <si>
    <t>Total investment</t>
  </si>
  <si>
    <t>Monthky (6 month)</t>
  </si>
  <si>
    <t>Buffer</t>
  </si>
  <si>
    <t>User (per multiple of budget)</t>
  </si>
  <si>
    <t>Order Value</t>
  </si>
  <si>
    <t>Active User</t>
  </si>
  <si>
    <t>Source of Revenu</t>
  </si>
  <si>
    <t>GMV</t>
  </si>
  <si>
    <t xml:space="preserve"> # per month</t>
  </si>
  <si>
    <t>Total GMV per user</t>
  </si>
  <si>
    <t>Commission on Sales (5%)</t>
  </si>
  <si>
    <t>User Subscription</t>
  </si>
  <si>
    <t>10% of seller</t>
  </si>
  <si>
    <t>Growth Rate</t>
  </si>
  <si>
    <t>Valuation (USD)</t>
  </si>
  <si>
    <t>Budget</t>
  </si>
  <si>
    <t>no of</t>
  </si>
  <si>
    <t>Total Budget</t>
  </si>
  <si>
    <t>New User</t>
  </si>
  <si>
    <t>Channel</t>
  </si>
  <si>
    <t>PAID ADS (META / GOOGLE)</t>
  </si>
  <si>
    <t>Meta app install ads</t>
  </si>
  <si>
    <t>Google UAC</t>
  </si>
  <si>
    <t>College Events &amp; Campus Programs</t>
  </si>
  <si>
    <t>College Business Fest</t>
  </si>
  <si>
    <t>College Sports Fest</t>
  </si>
  <si>
    <t>Campus ambassadors</t>
  </si>
  <si>
    <t>On-ground QR onboarding</t>
  </si>
  <si>
    <t>Merchant-led Acquisition</t>
  </si>
  <si>
    <t>“Pay with ReZ &amp; Earn Cashback” boards</t>
  </si>
  <si>
    <t>QR on bills / counters</t>
  </si>
  <si>
    <t>Merchant staff push (refferal)</t>
  </si>
  <si>
    <t>Scan &amp; earn coins</t>
  </si>
  <si>
    <t>Referral Programs</t>
  </si>
  <si>
    <t>User referral (coins)</t>
  </si>
  <si>
    <t>Influencer &amp; Creator Marketing</t>
  </si>
  <si>
    <t>Instagram reels</t>
  </si>
  <si>
    <t>College creators</t>
  </si>
  <si>
    <t>Hyperlocal food &amp; lifestyle pages</t>
  </si>
  <si>
    <t>Flea Markets, Pop-ups &amp; Community Events</t>
  </si>
  <si>
    <t>Flea markets</t>
  </si>
  <si>
    <t>100 for setup
100 for user downloads</t>
  </si>
  <si>
    <t>Malls / parks</t>
  </si>
  <si>
    <t>Society events</t>
  </si>
  <si>
    <t>Corporate Onboarding</t>
  </si>
  <si>
    <t>Company MoU</t>
  </si>
  <si>
    <t>HR partnerships</t>
  </si>
  <si>
    <t>Internal employee offers</t>
  </si>
  <si>
    <t>Zero-CAC / Near-Zero CAC Channels</t>
  </si>
  <si>
    <t>Social share</t>
  </si>
  <si>
    <t>organic content</t>
  </si>
  <si>
    <t>word of mouth</t>
  </si>
  <si>
    <t>PARTNERSHIPS</t>
  </si>
  <si>
    <t>Co-brand</t>
  </si>
  <si>
    <t>NEW Customer Acquire</t>
  </si>
  <si>
    <t>Budget required</t>
  </si>
  <si>
    <t>Total user</t>
  </si>
  <si>
    <t>Ideal Conditioin</t>
  </si>
  <si>
    <t>Starting Budget</t>
  </si>
  <si>
    <t>Business Devloepment</t>
  </si>
  <si>
    <t>Events</t>
  </si>
  <si>
    <t>Merchant events</t>
  </si>
  <si>
    <t>Local events</t>
  </si>
  <si>
    <t>Refferal</t>
  </si>
  <si>
    <t>Merchant refers</t>
  </si>
  <si>
    <t>User Referrs</t>
  </si>
  <si>
    <t>Digital Marketing</t>
  </si>
  <si>
    <t>SaS</t>
  </si>
  <si>
    <t>LOCAL ASSOCIATIONS &amp; UNIONS</t>
  </si>
  <si>
    <t>B2B PARTNERSHIPS</t>
  </si>
  <si>
    <t>CAM</t>
  </si>
  <si>
    <t>Ideal condition</t>
  </si>
  <si>
    <t>Net Profit</t>
  </si>
  <si>
    <t>Gross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</si>
</sst>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[&lt;999950]0.0,&quot;K&quot;;[&lt;999950000]0.0,,&quot;M&quot;;0.0,,,&quot;B&quot;"/>
    <numFmt numFmtId="166" formatCode="[&gt;999950]0.0,,&quot;M&quot;;[&lt;-999950]-0.0,,&quot;M&quot;;0.0,&quot;K&quot;"/>
    <numFmt numFmtId="167" formatCode="#,##0.00;(#,##0.00)"/>
    <numFmt numFmtId="168" formatCode="[$₹]#,##0.00"/>
    <numFmt numFmtId="169" formatCode="#,##0;(#,##0)"/>
  </numFmts>
  <fonts count="52">
    <font>
      <sz val="10.0"/>
      <color rgb="FF000000"/>
      <name val="Arial"/>
      <scheme val="minor"/>
    </font>
    <font>
      <b/>
      <sz val="12.0"/>
      <color rgb="FFFFFFFF"/>
      <name val="Lato"/>
    </font>
    <font/>
    <font>
      <sz val="10.0"/>
      <color theme="0"/>
      <name val="Lato"/>
    </font>
    <font>
      <sz val="10.0"/>
      <color theme="1"/>
      <name val="Lato"/>
    </font>
    <font>
      <color theme="1"/>
      <name val="Arial"/>
      <scheme val="minor"/>
    </font>
    <font>
      <b/>
      <sz val="10.0"/>
      <color theme="1"/>
      <name val="Lato"/>
    </font>
    <font>
      <sz val="10.0"/>
      <color rgb="FF0000FF"/>
      <name val="Lato"/>
    </font>
    <font>
      <sz val="10.0"/>
      <color rgb="FF000000"/>
      <name val="Lato"/>
    </font>
    <font>
      <i/>
      <sz val="8.0"/>
      <color theme="1"/>
      <name val="Lato"/>
    </font>
    <font>
      <sz val="10.0"/>
      <color rgb="FF666666"/>
      <name val="Assistant"/>
    </font>
    <font>
      <sz val="10.0"/>
      <color theme="1"/>
      <name val="Assistant"/>
    </font>
    <font>
      <b/>
      <sz val="10.0"/>
      <color theme="1"/>
      <name val="Assistant"/>
    </font>
    <font>
      <b/>
      <sz val="18.0"/>
      <color rgb="FF3D5487"/>
      <name val="Lato"/>
    </font>
    <font>
      <b/>
      <color rgb="FF000000"/>
      <name val="Lato"/>
    </font>
    <font>
      <color theme="1"/>
      <name val="Verdana"/>
    </font>
    <font>
      <b/>
      <sz val="12.0"/>
      <color theme="1"/>
      <name val="Assistant"/>
    </font>
    <font>
      <b/>
      <sz val="10.0"/>
      <color rgb="FF20124D"/>
      <name val="Assistant"/>
    </font>
    <font>
      <b/>
      <sz val="12.0"/>
      <color rgb="FF20124D"/>
      <name val="Assistant"/>
    </font>
    <font>
      <b/>
      <sz val="10.0"/>
      <color rgb="FF000000"/>
      <name val="Lato"/>
    </font>
    <font>
      <i/>
      <sz val="11.0"/>
      <color rgb="FF980000"/>
      <name val="Lato"/>
    </font>
    <font>
      <b/>
      <sz val="10.0"/>
      <color rgb="FFFFFFFF"/>
      <name val="Lato"/>
    </font>
    <font>
      <sz val="10.0"/>
      <color rgb="FFFFFFFF"/>
      <name val="Lato"/>
    </font>
    <font>
      <i/>
      <sz val="11.0"/>
      <color rgb="FFFFFFFF"/>
      <name val="Lato"/>
    </font>
    <font>
      <sz val="10.0"/>
      <color theme="1"/>
      <name val="Arial"/>
      <scheme val="minor"/>
    </font>
    <font>
      <b/>
      <sz val="10.0"/>
      <color rgb="FF000000"/>
      <name val="Arial"/>
      <scheme val="minor"/>
    </font>
    <font>
      <i/>
      <sz val="11.0"/>
      <color rgb="FF980000"/>
      <name val="Arial"/>
      <scheme val="minor"/>
    </font>
    <font>
      <b/>
      <sz val="10.0"/>
      <color rgb="FFFFFFFF"/>
      <name val="Arial"/>
      <scheme val="minor"/>
    </font>
    <font>
      <sz val="10.0"/>
      <color rgb="FFFFFFFF"/>
      <name val="Arial"/>
      <scheme val="minor"/>
    </font>
    <font>
      <i/>
      <sz val="11.0"/>
      <color rgb="FFFFFFFF"/>
      <name val="Arial"/>
      <scheme val="minor"/>
    </font>
    <font>
      <sz val="10.0"/>
      <color theme="1"/>
      <name val="Arial"/>
    </font>
    <font>
      <b/>
      <sz val="10.0"/>
      <color theme="1"/>
      <name val="Arial"/>
      <scheme val="minor"/>
    </font>
    <font>
      <b/>
      <sz val="10.0"/>
      <color rgb="FF1F1F1F"/>
      <name val="Google Sans Text"/>
    </font>
    <font>
      <b/>
      <sz val="10.0"/>
      <color rgb="FFFFFFFF"/>
      <name val="Google Sans Text"/>
    </font>
    <font>
      <color theme="1"/>
      <name val="Arial"/>
    </font>
    <font>
      <color theme="1"/>
      <name val="Lato"/>
    </font>
    <font>
      <sz val="8.0"/>
      <color theme="1"/>
      <name val="Lato"/>
    </font>
    <font>
      <i/>
      <color rgb="FF666666"/>
      <name val="Lato"/>
    </font>
    <font>
      <color rgb="FFFFFFFF"/>
      <name val="Lato"/>
    </font>
    <font>
      <b/>
      <color rgb="FFFFFFFF"/>
      <name val="Lato"/>
    </font>
    <font>
      <b/>
      <color theme="1"/>
      <name val="Lato"/>
    </font>
    <font>
      <color rgb="FF000000"/>
      <name val="Lato"/>
    </font>
    <font>
      <i/>
      <color theme="1"/>
      <name val="Lato"/>
    </font>
    <font>
      <i/>
      <sz val="9.0"/>
      <color theme="1"/>
      <name val="Lato"/>
    </font>
    <font>
      <b/>
      <color rgb="FF1F1F1F"/>
      <name val="Google Sans Text"/>
    </font>
    <font>
      <color theme="0"/>
      <name val="Lato"/>
    </font>
    <font>
      <color rgb="FFFFFFFF"/>
      <name val="Arial"/>
      <scheme val="minor"/>
    </font>
    <font>
      <b/>
      <sz val="9.0"/>
      <color theme="1"/>
      <name val="Lato"/>
    </font>
    <font>
      <sz val="9.0"/>
      <color rgb="FFFFFFFF"/>
      <name val="Lato"/>
    </font>
    <font>
      <b/>
      <sz val="9.0"/>
      <color rgb="FFFFFFFF"/>
      <name val="Lato"/>
    </font>
    <font>
      <sz val="9.0"/>
      <color rgb="FF000000"/>
      <name val="Lato"/>
    </font>
    <font>
      <color rgb="FF0000FF"/>
      <name val="Arial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3D5487"/>
        <bgColor rgb="FF3D5487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351C75"/>
        <bgColor rgb="FF351C75"/>
      </patternFill>
    </fill>
    <fill>
      <patternFill patternType="solid">
        <fgColor rgb="FFEAD1DC"/>
        <bgColor rgb="FFEAD1DC"/>
      </patternFill>
    </fill>
    <fill>
      <patternFill patternType="solid">
        <fgColor rgb="FF0B5394"/>
        <bgColor rgb="FF0B5394"/>
      </patternFill>
    </fill>
    <fill>
      <patternFill patternType="solid">
        <fgColor rgb="FF1155CC"/>
        <bgColor rgb="FF1155CC"/>
      </patternFill>
    </fill>
    <fill>
      <patternFill patternType="solid">
        <fgColor rgb="FF134F5C"/>
        <bgColor rgb="FF134F5C"/>
      </patternFill>
    </fill>
    <fill>
      <patternFill patternType="solid">
        <fgColor rgb="FF741B47"/>
        <bgColor rgb="FF741B47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E6B8AF"/>
        <bgColor rgb="FFE6B8AF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B6C3DD"/>
        <bgColor rgb="FFB6C3DD"/>
      </patternFill>
    </fill>
    <fill>
      <patternFill patternType="solid">
        <fgColor rgb="FF980000"/>
        <bgColor rgb="FF980000"/>
      </patternFill>
    </fill>
    <fill>
      <patternFill patternType="solid">
        <fgColor theme="0"/>
        <bgColor theme="0"/>
      </patternFill>
    </fill>
  </fills>
  <borders count="87">
    <border/>
    <border>
      <left style="thin">
        <color rgb="FF3D5487"/>
      </left>
      <top style="thin">
        <color rgb="FF3D5487"/>
      </top>
      <bottom style="thin">
        <color rgb="FF3D5487"/>
      </bottom>
    </border>
    <border>
      <top style="thin">
        <color rgb="FF3D5487"/>
      </top>
      <bottom style="thin">
        <color rgb="FF3D5487"/>
      </bottom>
    </border>
    <border>
      <right style="thin">
        <color rgb="FF3D5487"/>
      </right>
      <top style="thin">
        <color rgb="FF3D5487"/>
      </top>
      <bottom style="thin">
        <color rgb="FF3D5487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top style="thin">
        <color rgb="FFF3F3F3"/>
      </top>
      <bottom style="thin">
        <color rgb="FFF3F3F3"/>
      </bottom>
    </border>
    <border>
      <right style="thin">
        <color rgb="FFF3F3F3"/>
      </right>
      <top style="thin">
        <color rgb="FFF3F3F3"/>
      </top>
    </border>
    <border>
      <left style="thin">
        <color rgb="FFF3F3F3"/>
      </left>
      <right style="thin">
        <color rgb="FFF3F3F3"/>
      </right>
      <top style="thin">
        <color rgb="FFF3F3F3"/>
      </top>
    </border>
    <border>
      <left style="thin">
        <color rgb="FFF3F3F3"/>
      </left>
      <top style="thin">
        <color rgb="FFF3F3F3"/>
      </top>
    </border>
    <border>
      <right style="thin">
        <color rgb="FFF3F3F3"/>
      </right>
      <bottom style="thin">
        <color rgb="FFF3F3F3"/>
      </bottom>
    </border>
    <border>
      <left style="thin">
        <color rgb="FFF3F3F3"/>
      </left>
      <right style="thin">
        <color rgb="FFF3F3F3"/>
      </right>
      <bottom style="thin">
        <color rgb="FFF3F3F3"/>
      </bottom>
    </border>
    <border>
      <left style="thin">
        <color rgb="FFF3F3F3"/>
      </left>
      <bottom style="thin">
        <color rgb="FFF3F3F3"/>
      </bottom>
    </border>
    <border>
      <left style="thin">
        <color rgb="FFF3F3F3"/>
      </left>
      <right/>
      <bottom style="thin">
        <color rgb="FFF3F3F3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left style="thick">
        <color rgb="FF980000"/>
      </left>
      <right style="thick">
        <color rgb="FF980000"/>
      </righ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3D5487"/>
      </left>
      <right style="thin">
        <color rgb="FF3D5487"/>
      </right>
      <top style="thin">
        <color rgb="FF3D5487"/>
      </top>
      <bottom style="thin">
        <color rgb="FF3D5487"/>
      </bottom>
    </border>
    <border>
      <left style="thick">
        <color rgb="FF9900FF"/>
      </left>
      <right style="thin">
        <color rgb="FF3D5487"/>
      </right>
      <top style="thick">
        <color rgb="FF9900FF"/>
      </top>
      <bottom style="thin">
        <color rgb="FF3D5487"/>
      </bottom>
    </border>
    <border>
      <left style="thin">
        <color rgb="FF3D5487"/>
      </left>
      <right style="thin">
        <color rgb="FF3D5487"/>
      </right>
      <top style="thick">
        <color rgb="FF9900FF"/>
      </top>
      <bottom style="thin">
        <color rgb="FF3D5487"/>
      </bottom>
    </border>
    <border>
      <left style="thin">
        <color rgb="FF3D5487"/>
      </left>
      <top style="thick">
        <color rgb="FF9900FF"/>
      </top>
      <bottom style="thin">
        <color rgb="FF3D5487"/>
      </bottom>
    </border>
    <border>
      <left style="thick">
        <color rgb="FF980000"/>
      </left>
      <right style="thick">
        <color rgb="FF980000"/>
      </right>
      <top style="thick">
        <color rgb="FF980000"/>
      </top>
      <bottom style="thin">
        <color rgb="FF3D5487"/>
      </bottom>
    </border>
    <border>
      <right style="thin">
        <color rgb="FF3D5487"/>
      </right>
      <top style="thick">
        <color rgb="FF0000FF"/>
      </top>
      <bottom style="thin">
        <color rgb="FF3D5487"/>
      </bottom>
    </border>
    <border>
      <left style="thin">
        <color rgb="FF3D5487"/>
      </left>
      <right style="thin">
        <color rgb="FF3D5487"/>
      </right>
      <top style="thick">
        <color rgb="FF0000FF"/>
      </top>
      <bottom style="thin">
        <color rgb="FF3D5487"/>
      </bottom>
    </border>
    <border>
      <left style="thin">
        <color rgb="FF3D5487"/>
      </left>
      <top style="thick">
        <color rgb="FF0000FF"/>
      </top>
      <bottom style="thin">
        <color rgb="FF3D5487"/>
      </bottom>
    </border>
    <border>
      <left style="thick">
        <color rgb="FFFF0000"/>
      </left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right style="thick">
        <color rgb="FF7F6000"/>
      </right>
      <bottom style="thin">
        <color rgb="FF3D5487"/>
      </bottom>
    </border>
    <border>
      <right style="thin">
        <color rgb="FFFF0000"/>
      </right>
      <bottom style="thin">
        <color rgb="FF3D5487"/>
      </bottom>
    </border>
    <border>
      <left style="thick">
        <color rgb="FF9900FF"/>
      </left>
    </border>
    <border>
      <left style="thick">
        <color rgb="FF980000"/>
      </left>
      <right style="thick">
        <color rgb="FF980000"/>
      </right>
    </border>
    <border>
      <left style="thick">
        <color rgb="FFFF0000"/>
      </left>
    </border>
    <border>
      <right style="thick">
        <color rgb="FFFF0000"/>
      </right>
    </border>
    <border>
      <right style="thick">
        <color rgb="FF7F6000"/>
      </right>
    </border>
    <border>
      <right style="thin">
        <color rgb="FFFF0000"/>
      </right>
    </border>
    <border>
      <left style="thick">
        <color rgb="FF9900FF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thick">
        <color rgb="FF980000"/>
      </left>
      <right style="thick">
        <color rgb="FF980000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right style="thick">
        <color rgb="FF7F6000"/>
      </right>
      <bottom style="thin">
        <color rgb="FFCCCCCC"/>
      </bottom>
    </border>
    <border>
      <left style="thick">
        <color rgb="FF9900FF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ck">
        <color rgb="FF980000"/>
      </left>
      <right style="thick">
        <color rgb="FF980000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ck">
        <color rgb="FF7F6000"/>
      </right>
      <top style="thin">
        <color rgb="FFCCCCCC"/>
      </top>
      <bottom style="thin">
        <color rgb="FFCCCCCC"/>
      </bottom>
    </border>
    <border>
      <right style="thin">
        <color rgb="FFFF0000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ck">
        <color rgb="FF9900FF"/>
      </left>
      <right style="thin">
        <color rgb="FFCCCCCC"/>
      </right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</border>
    <border>
      <left style="thick">
        <color rgb="FF980000"/>
      </left>
      <right style="thick">
        <color rgb="FF980000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bottom style="thin">
        <color rgb="FFCCCCCC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ck">
        <color rgb="FF7F6000"/>
      </right>
      <top style="thin">
        <color rgb="FFCCCCCC"/>
      </top>
    </border>
    <border>
      <right style="thin">
        <color rgb="FFFF0000"/>
      </right>
      <top style="thin">
        <color rgb="FFCCCCCC"/>
      </top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top style="thin">
        <color rgb="FFFF0000"/>
      </top>
      <bottom style="thin">
        <color rgb="FFFF0000"/>
      </bottom>
    </border>
    <border>
      <left style="thick">
        <color rgb="FF9900FF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ck">
        <color rgb="FF980000"/>
      </left>
      <right style="thick">
        <color rgb="FF980000"/>
      </right>
      <top style="thin">
        <color rgb="FFFF0000"/>
      </top>
      <bottom style="thin">
        <color rgb="FFFF0000"/>
      </bottom>
    </border>
    <border>
      <right style="thin">
        <color rgb="FFFF0000"/>
      </right>
      <top style="thin">
        <color rgb="FFFF0000"/>
      </top>
      <bottom style="thin">
        <color rgb="FFFF0000"/>
      </bottom>
    </border>
    <border>
      <right style="thick">
        <color rgb="FF7F6000"/>
      </right>
      <top style="thin">
        <color rgb="FFFF0000"/>
      </top>
      <bottom style="thin">
        <color rgb="FFFF0000"/>
      </bottom>
    </border>
    <border>
      <left style="thick">
        <color rgb="FF9900FF"/>
      </left>
      <right style="thin">
        <color rgb="FFFF0000"/>
      </right>
      <top style="thin">
        <color rgb="FFFF0000"/>
      </top>
    </border>
    <border>
      <left style="thin">
        <color rgb="FFFF0000"/>
      </left>
      <right style="thin">
        <color rgb="FFFF0000"/>
      </right>
      <top style="thin">
        <color rgb="FFFF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F0000"/>
      </top>
      <bottom style="thin">
        <color rgb="FFFF0000"/>
      </bottom>
    </border>
    <border>
      <left style="thick">
        <color rgb="FF9900FF"/>
      </left>
      <right style="thin">
        <color rgb="FFFF0000"/>
      </right>
      <bottom style="thin">
        <color rgb="FFFF0000"/>
      </bottom>
    </border>
    <border>
      <left style="thin">
        <color rgb="FFFF0000"/>
      </left>
      <right style="thin">
        <color rgb="FFFF0000"/>
      </right>
      <bottom style="thin">
        <color rgb="FFFF0000"/>
      </bottom>
    </border>
    <border>
      <left style="thick">
        <color rgb="FF9900FF"/>
      </left>
      <bottom style="thick">
        <color rgb="FF9900FF"/>
      </bottom>
    </border>
    <border>
      <bottom style="thick">
        <color rgb="FF9900FF"/>
      </bottom>
    </border>
    <border>
      <left style="thick">
        <color rgb="FF980000"/>
      </left>
      <right style="thick">
        <color rgb="FF980000"/>
      </right>
      <bottom style="thick">
        <color rgb="FF980000"/>
      </bottom>
    </border>
    <border>
      <bottom style="thick">
        <color rgb="FF0000FF"/>
      </bottom>
    </border>
    <border>
      <left style="thick">
        <color rgb="FFFF0000"/>
      </left>
      <bottom style="thick">
        <color rgb="FFFF0000"/>
      </bottom>
    </border>
    <border>
      <right style="thick">
        <color rgb="FFFF0000"/>
      </right>
      <bottom style="thick">
        <color rgb="FFFF0000"/>
      </bottom>
    </border>
    <border>
      <left style="thick">
        <color rgb="FF980000"/>
      </left>
      <right style="thick">
        <color rgb="FF980000"/>
      </right>
      <top style="thin">
        <color rgb="FFCCCCCC"/>
      </top>
      <bottom style="thick">
        <color rgb="FF980000"/>
      </bottom>
    </border>
    <border>
      <left style="thin">
        <color rgb="FFD9D9D9"/>
      </left>
      <right style="thin">
        <color rgb="FFD9D9D9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readingOrder="0"/>
    </xf>
    <xf borderId="4" fillId="3" fontId="4" numFmtId="0" xfId="0" applyBorder="1" applyFill="1" applyFont="1"/>
    <xf borderId="4" fillId="0" fontId="4" numFmtId="0" xfId="0" applyBorder="1" applyFont="1"/>
    <xf borderId="5" fillId="3" fontId="5" numFmtId="0" xfId="0" applyBorder="1" applyFont="1"/>
    <xf borderId="6" fillId="0" fontId="6" numFmtId="0" xfId="0" applyAlignment="1" applyBorder="1" applyFont="1">
      <alignment readingOrder="0"/>
    </xf>
    <xf borderId="7" fillId="0" fontId="6" numFmtId="0" xfId="0" applyAlignment="1" applyBorder="1" applyFont="1">
      <alignment readingOrder="0"/>
    </xf>
    <xf borderId="5" fillId="0" fontId="7" numFmtId="0" xfId="0" applyAlignment="1" applyBorder="1" applyFont="1">
      <alignment readingOrder="0"/>
    </xf>
    <xf borderId="5" fillId="3" fontId="7" numFmtId="0" xfId="0" applyAlignment="1" applyBorder="1" applyFont="1">
      <alignment readingOrder="0"/>
    </xf>
    <xf borderId="5" fillId="3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5" fillId="4" fontId="8" numFmtId="164" xfId="0" applyAlignment="1" applyBorder="1" applyFill="1" applyFont="1" applyNumberFormat="1">
      <alignment horizontal="right" readingOrder="0"/>
    </xf>
    <xf borderId="5" fillId="0" fontId="4" numFmtId="164" xfId="0" applyAlignment="1" applyBorder="1" applyFont="1" applyNumberFormat="1">
      <alignment readingOrder="0"/>
    </xf>
    <xf borderId="5" fillId="3" fontId="4" numFmtId="164" xfId="0" applyAlignment="1" applyBorder="1" applyFont="1" applyNumberFormat="1">
      <alignment readingOrder="0"/>
    </xf>
    <xf borderId="5" fillId="0" fontId="4" numFmtId="164" xfId="0" applyBorder="1" applyFont="1" applyNumberFormat="1"/>
    <xf borderId="5" fillId="3" fontId="4" numFmtId="164" xfId="0" applyBorder="1" applyFont="1" applyNumberFormat="1"/>
    <xf borderId="5" fillId="5" fontId="4" numFmtId="164" xfId="0" applyBorder="1" applyFill="1" applyFont="1" applyNumberFormat="1"/>
    <xf borderId="5" fillId="0" fontId="9" numFmtId="164" xfId="0" applyAlignment="1" applyBorder="1" applyFont="1" applyNumberFormat="1">
      <alignment readingOrder="0"/>
    </xf>
    <xf borderId="5" fillId="0" fontId="4" numFmtId="0" xfId="0" applyBorder="1" applyFont="1"/>
    <xf borderId="5" fillId="3" fontId="4" numFmtId="0" xfId="0" applyBorder="1" applyFont="1"/>
    <xf borderId="5" fillId="6" fontId="4" numFmtId="0" xfId="0" applyBorder="1" applyFill="1" applyFont="1"/>
    <xf borderId="5" fillId="0" fontId="9" numFmtId="0" xfId="0" applyAlignment="1" applyBorder="1" applyFont="1">
      <alignment readingOrder="0"/>
    </xf>
    <xf borderId="8" fillId="0" fontId="4" numFmtId="0" xfId="0" applyBorder="1" applyFont="1"/>
    <xf borderId="8" fillId="3" fontId="4" numFmtId="0" xfId="0" applyBorder="1" applyFont="1"/>
    <xf borderId="5" fillId="3" fontId="10" numFmtId="0" xfId="0" applyAlignment="1" applyBorder="1" applyFont="1">
      <alignment readingOrder="0"/>
    </xf>
    <xf borderId="9" fillId="7" fontId="10" numFmtId="0" xfId="0" applyAlignment="1" applyBorder="1" applyFill="1" applyFont="1">
      <alignment readingOrder="0"/>
    </xf>
    <xf borderId="10" fillId="7" fontId="11" numFmtId="0" xfId="0" applyBorder="1" applyFont="1"/>
    <xf borderId="11" fillId="7" fontId="11" numFmtId="0" xfId="0" applyBorder="1" applyFont="1"/>
    <xf borderId="5" fillId="3" fontId="11" numFmtId="0" xfId="0" applyBorder="1" applyFont="1"/>
    <xf borderId="9" fillId="7" fontId="11" numFmtId="0" xfId="0" applyBorder="1" applyFont="1"/>
    <xf borderId="0" fillId="3" fontId="11" numFmtId="0" xfId="0" applyFont="1"/>
    <xf borderId="5" fillId="3" fontId="11" numFmtId="0" xfId="0" applyAlignment="1" applyBorder="1" applyFont="1">
      <alignment readingOrder="0"/>
    </xf>
    <xf borderId="9" fillId="7" fontId="11" numFmtId="0" xfId="0" applyAlignment="1" applyBorder="1" applyFont="1">
      <alignment readingOrder="0"/>
    </xf>
    <xf borderId="10" fillId="7" fontId="11" numFmtId="164" xfId="0" applyAlignment="1" applyBorder="1" applyFont="1" applyNumberFormat="1">
      <alignment readingOrder="0"/>
    </xf>
    <xf borderId="5" fillId="3" fontId="12" numFmtId="0" xfId="0" applyAlignment="1" applyBorder="1" applyFont="1">
      <alignment readingOrder="0"/>
    </xf>
    <xf borderId="9" fillId="7" fontId="12" numFmtId="0" xfId="0" applyAlignment="1" applyBorder="1" applyFont="1">
      <alignment readingOrder="0"/>
    </xf>
    <xf borderId="10" fillId="7" fontId="11" numFmtId="164" xfId="0" applyBorder="1" applyFont="1" applyNumberFormat="1"/>
    <xf borderId="11" fillId="7" fontId="11" numFmtId="164" xfId="0" applyBorder="1" applyFont="1" applyNumberFormat="1"/>
    <xf borderId="5" fillId="3" fontId="11" numFmtId="164" xfId="0" applyBorder="1" applyFont="1" applyNumberFormat="1"/>
    <xf borderId="9" fillId="7" fontId="11" numFmtId="164" xfId="0" applyBorder="1" applyFont="1" applyNumberFormat="1"/>
    <xf borderId="0" fillId="3" fontId="11" numFmtId="164" xfId="0" applyFont="1" applyNumberFormat="1"/>
    <xf borderId="9" fillId="7" fontId="12" numFmtId="0" xfId="0" applyBorder="1" applyFont="1"/>
    <xf borderId="10" fillId="7" fontId="12" numFmtId="0" xfId="0" applyBorder="1" applyFont="1"/>
    <xf borderId="11" fillId="7" fontId="12" numFmtId="0" xfId="0" applyBorder="1" applyFont="1"/>
    <xf borderId="0" fillId="3" fontId="12" numFmtId="0" xfId="0" applyFont="1"/>
    <xf borderId="5" fillId="3" fontId="12" numFmtId="0" xfId="0" applyBorder="1" applyFont="1"/>
    <xf borderId="12" fillId="7" fontId="11" numFmtId="0" xfId="0" applyBorder="1" applyFont="1"/>
    <xf borderId="13" fillId="7" fontId="11" numFmtId="0" xfId="0" applyBorder="1" applyFont="1"/>
    <xf borderId="14" fillId="7" fontId="11" numFmtId="0" xfId="0" applyBorder="1" applyFont="1"/>
    <xf borderId="15" fillId="7" fontId="11" numFmtId="0" xfId="0" applyBorder="1" applyFont="1"/>
    <xf borderId="16" fillId="7" fontId="11" numFmtId="0" xfId="0" applyBorder="1" applyFont="1"/>
    <xf borderId="17" fillId="7" fontId="11" numFmtId="0" xfId="0" applyBorder="1" applyFont="1"/>
    <xf borderId="0" fillId="7" fontId="11" numFmtId="0" xfId="0" applyFont="1"/>
    <xf borderId="0" fillId="7" fontId="13" numFmtId="9" xfId="0" applyAlignment="1" applyFont="1" applyNumberFormat="1">
      <alignment horizontal="center" readingOrder="0" vertical="bottom"/>
    </xf>
    <xf borderId="18" fillId="7" fontId="14" numFmtId="0" xfId="0" applyAlignment="1" applyBorder="1" applyFont="1">
      <alignment horizontal="center" readingOrder="0" shrinkToFit="0" vertical="bottom" wrapText="0"/>
    </xf>
    <xf borderId="16" fillId="7" fontId="15" numFmtId="0" xfId="0" applyAlignment="1" applyBorder="1" applyFont="1">
      <alignment vertical="bottom"/>
    </xf>
    <xf borderId="16" fillId="7" fontId="13" numFmtId="9" xfId="0" applyAlignment="1" applyBorder="1" applyFont="1" applyNumberFormat="1">
      <alignment horizontal="center" readingOrder="0" vertical="bottom"/>
    </xf>
    <xf borderId="5" fillId="3" fontId="16" numFmtId="9" xfId="0" applyAlignment="1" applyBorder="1" applyFont="1" applyNumberFormat="1">
      <alignment readingOrder="0"/>
    </xf>
    <xf borderId="5" fillId="3" fontId="17" numFmtId="0" xfId="0" applyAlignment="1" applyBorder="1" applyFont="1">
      <alignment readingOrder="0"/>
    </xf>
    <xf borderId="5" fillId="3" fontId="18" numFmtId="9" xfId="0" applyAlignment="1" applyBorder="1" applyFont="1" applyNumberFormat="1">
      <alignment readingOrder="0"/>
    </xf>
    <xf borderId="6" fillId="3" fontId="19" numFmtId="0" xfId="0" applyAlignment="1" applyBorder="1" applyFont="1">
      <alignment horizontal="center" readingOrder="0"/>
    </xf>
    <xf borderId="19" fillId="0" fontId="2" numFmtId="0" xfId="0" applyBorder="1" applyFont="1"/>
    <xf borderId="7" fillId="0" fontId="2" numFmtId="0" xfId="0" applyBorder="1" applyFont="1"/>
    <xf borderId="8" fillId="3" fontId="8" numFmtId="0" xfId="0" applyBorder="1" applyFont="1"/>
    <xf borderId="20" fillId="3" fontId="8" numFmtId="0" xfId="0" applyBorder="1" applyFont="1"/>
    <xf borderId="21" fillId="3" fontId="8" numFmtId="0" xfId="0" applyBorder="1" applyFont="1"/>
    <xf borderId="22" fillId="3" fontId="8" numFmtId="0" xfId="0" applyBorder="1" applyFont="1"/>
    <xf borderId="0" fillId="3" fontId="8" numFmtId="0" xfId="0" applyFont="1"/>
    <xf borderId="0" fillId="3" fontId="20" numFmtId="0" xfId="0" applyAlignment="1" applyFont="1">
      <alignment horizontal="center"/>
    </xf>
    <xf borderId="22" fillId="3" fontId="20" numFmtId="0" xfId="0" applyAlignment="1" applyBorder="1" applyFont="1">
      <alignment horizontal="center"/>
    </xf>
    <xf borderId="8" fillId="3" fontId="20" numFmtId="0" xfId="0" applyAlignment="1" applyBorder="1" applyFont="1">
      <alignment horizontal="center"/>
    </xf>
    <xf borderId="23" fillId="8" fontId="21" numFmtId="0" xfId="0" applyAlignment="1" applyBorder="1" applyFill="1" applyFont="1">
      <alignment readingOrder="0"/>
    </xf>
    <xf borderId="1" fillId="8" fontId="21" numFmtId="0" xfId="0" applyAlignment="1" applyBorder="1" applyFont="1">
      <alignment readingOrder="0"/>
    </xf>
    <xf borderId="24" fillId="8" fontId="22" numFmtId="0" xfId="0" applyAlignment="1" applyBorder="1" applyFont="1">
      <alignment readingOrder="0"/>
    </xf>
    <xf borderId="25" fillId="8" fontId="22" numFmtId="0" xfId="0" applyAlignment="1" applyBorder="1" applyFont="1">
      <alignment readingOrder="0"/>
    </xf>
    <xf borderId="26" fillId="8" fontId="22" numFmtId="0" xfId="0" applyAlignment="1" applyBorder="1" applyFont="1">
      <alignment readingOrder="0"/>
    </xf>
    <xf borderId="27" fillId="9" fontId="19" numFmtId="0" xfId="0" applyAlignment="1" applyBorder="1" applyFill="1" applyFont="1">
      <alignment readingOrder="0"/>
    </xf>
    <xf borderId="28" fillId="10" fontId="22" numFmtId="0" xfId="0" applyAlignment="1" applyBorder="1" applyFill="1" applyFont="1">
      <alignment readingOrder="0"/>
    </xf>
    <xf borderId="29" fillId="10" fontId="22" numFmtId="0" xfId="0" applyAlignment="1" applyBorder="1" applyFont="1">
      <alignment readingOrder="0"/>
    </xf>
    <xf borderId="30" fillId="10" fontId="22" numFmtId="0" xfId="0" applyAlignment="1" applyBorder="1" applyFont="1">
      <alignment readingOrder="0"/>
    </xf>
    <xf borderId="31" fillId="11" fontId="22" numFmtId="0" xfId="0" applyAlignment="1" applyBorder="1" applyFill="1" applyFont="1">
      <alignment readingOrder="0"/>
    </xf>
    <xf borderId="32" fillId="12" fontId="22" numFmtId="0" xfId="0" applyAlignment="1" applyBorder="1" applyFill="1" applyFont="1">
      <alignment readingOrder="0"/>
    </xf>
    <xf borderId="33" fillId="13" fontId="22" numFmtId="0" xfId="0" applyAlignment="1" applyBorder="1" applyFill="1" applyFont="1">
      <alignment readingOrder="0"/>
    </xf>
    <xf borderId="34" fillId="8" fontId="23" numFmtId="0" xfId="0" applyAlignment="1" applyBorder="1" applyFont="1">
      <alignment horizontal="center" readingOrder="0"/>
    </xf>
    <xf borderId="3" fillId="8" fontId="23" numFmtId="0" xfId="0" applyAlignment="1" applyBorder="1" applyFont="1">
      <alignment horizontal="center" readingOrder="0"/>
    </xf>
    <xf borderId="23" fillId="8" fontId="23" numFmtId="0" xfId="0" applyAlignment="1" applyBorder="1" applyFont="1">
      <alignment horizontal="center" readingOrder="0"/>
    </xf>
    <xf borderId="0" fillId="0" fontId="24" numFmtId="165" xfId="0" applyAlignment="1" applyFont="1" applyNumberFormat="1">
      <alignment readingOrder="0"/>
    </xf>
    <xf borderId="35" fillId="5" fontId="8" numFmtId="165" xfId="0" applyAlignment="1" applyBorder="1" applyFont="1" applyNumberFormat="1">
      <alignment horizontal="right" readingOrder="0"/>
    </xf>
    <xf borderId="0" fillId="5" fontId="8" numFmtId="165" xfId="0" applyAlignment="1" applyFont="1" applyNumberFormat="1">
      <alignment readingOrder="0"/>
    </xf>
    <xf borderId="0" fillId="5" fontId="8" numFmtId="165" xfId="0" applyAlignment="1" applyFont="1" applyNumberFormat="1">
      <alignment horizontal="right" readingOrder="0"/>
    </xf>
    <xf borderId="36" fillId="9" fontId="8" numFmtId="165" xfId="0" applyAlignment="1" applyBorder="1" applyFont="1" applyNumberFormat="1">
      <alignment horizontal="right" readingOrder="0"/>
    </xf>
    <xf borderId="37" fillId="5" fontId="8" numFmtId="165" xfId="0" applyAlignment="1" applyBorder="1" applyFont="1" applyNumberFormat="1">
      <alignment horizontal="right" readingOrder="0"/>
    </xf>
    <xf borderId="38" fillId="5" fontId="8" numFmtId="165" xfId="0" applyAlignment="1" applyBorder="1" applyFont="1" applyNumberFormat="1">
      <alignment horizontal="right" readingOrder="0"/>
    </xf>
    <xf borderId="39" fillId="5" fontId="8" numFmtId="165" xfId="0" applyAlignment="1" applyBorder="1" applyFont="1" applyNumberFormat="1">
      <alignment horizontal="right" readingOrder="0"/>
    </xf>
    <xf borderId="40" fillId="6" fontId="20" numFmtId="165" xfId="0" applyAlignment="1" applyBorder="1" applyFont="1" applyNumberFormat="1">
      <alignment readingOrder="0"/>
    </xf>
    <xf borderId="0" fillId="6" fontId="20" numFmtId="165" xfId="0" applyAlignment="1" applyFont="1" applyNumberFormat="1">
      <alignment readingOrder="0"/>
    </xf>
    <xf borderId="41" fillId="5" fontId="8" numFmtId="165" xfId="0" applyAlignment="1" applyBorder="1" applyFont="1" applyNumberFormat="1">
      <alignment horizontal="right" readingOrder="0"/>
    </xf>
    <xf borderId="42" fillId="5" fontId="8" numFmtId="165" xfId="0" applyAlignment="1" applyBorder="1" applyFont="1" applyNumberFormat="1">
      <alignment horizontal="right" readingOrder="0"/>
    </xf>
    <xf borderId="43" fillId="5" fontId="8" numFmtId="165" xfId="0" applyAlignment="1" applyBorder="1" applyFont="1" applyNumberFormat="1">
      <alignment horizontal="right" readingOrder="0"/>
    </xf>
    <xf borderId="44" fillId="9" fontId="8" numFmtId="165" xfId="0" applyAlignment="1" applyBorder="1" applyFont="1" applyNumberFormat="1">
      <alignment horizontal="right" readingOrder="0"/>
    </xf>
    <xf borderId="45" fillId="5" fontId="8" numFmtId="165" xfId="0" applyAlignment="1" applyBorder="1" applyFont="1" applyNumberFormat="1">
      <alignment horizontal="right" readingOrder="0"/>
    </xf>
    <xf borderId="46" fillId="5" fontId="8" numFmtId="165" xfId="0" applyAlignment="1" applyBorder="1" applyFont="1" applyNumberFormat="1">
      <alignment horizontal="right" readingOrder="0"/>
    </xf>
    <xf borderId="45" fillId="6" fontId="20" numFmtId="165" xfId="0" applyAlignment="1" applyBorder="1" applyFont="1" applyNumberFormat="1">
      <alignment horizontal="right" readingOrder="0"/>
    </xf>
    <xf borderId="0" fillId="7" fontId="4" numFmtId="0" xfId="0" applyAlignment="1" applyFont="1">
      <alignment readingOrder="0" vertical="bottom"/>
    </xf>
    <xf borderId="0" fillId="7" fontId="4" numFmtId="9" xfId="0" applyAlignment="1" applyFont="1" applyNumberFormat="1">
      <alignment readingOrder="0" vertical="bottom"/>
    </xf>
    <xf borderId="47" fillId="5" fontId="8" numFmtId="9" xfId="0" applyAlignment="1" applyBorder="1" applyFont="1" applyNumberFormat="1">
      <alignment horizontal="right" readingOrder="0"/>
    </xf>
    <xf borderId="48" fillId="5" fontId="8" numFmtId="9" xfId="0" applyAlignment="1" applyBorder="1" applyFont="1" applyNumberFormat="1">
      <alignment horizontal="right" readingOrder="0"/>
    </xf>
    <xf borderId="49" fillId="5" fontId="8" numFmtId="9" xfId="0" applyAlignment="1" applyBorder="1" applyFont="1" applyNumberFormat="1">
      <alignment horizontal="right" readingOrder="0"/>
    </xf>
    <xf borderId="50" fillId="9" fontId="8" numFmtId="9" xfId="0" applyAlignment="1" applyBorder="1" applyFont="1" applyNumberFormat="1">
      <alignment horizontal="right" readingOrder="0"/>
    </xf>
    <xf borderId="51" fillId="5" fontId="8" numFmtId="9" xfId="0" applyAlignment="1" applyBorder="1" applyFont="1" applyNumberFormat="1">
      <alignment horizontal="right" readingOrder="0"/>
    </xf>
    <xf borderId="37" fillId="5" fontId="8" numFmtId="9" xfId="0" applyAlignment="1" applyBorder="1" applyFont="1" applyNumberFormat="1">
      <alignment horizontal="right" readingOrder="0"/>
    </xf>
    <xf borderId="38" fillId="5" fontId="8" numFmtId="9" xfId="0" applyAlignment="1" applyBorder="1" applyFont="1" applyNumberFormat="1">
      <alignment horizontal="right" readingOrder="0"/>
    </xf>
    <xf borderId="52" fillId="5" fontId="8" numFmtId="9" xfId="0" applyAlignment="1" applyBorder="1" applyFont="1" applyNumberFormat="1">
      <alignment horizontal="right" readingOrder="0"/>
    </xf>
    <xf borderId="53" fillId="5" fontId="20" numFmtId="0" xfId="0" applyAlignment="1" applyBorder="1" applyFont="1">
      <alignment horizontal="right" readingOrder="0"/>
    </xf>
    <xf borderId="51" fillId="5" fontId="20" numFmtId="10" xfId="0" applyAlignment="1" applyBorder="1" applyFont="1" applyNumberFormat="1">
      <alignment horizontal="right" readingOrder="0"/>
    </xf>
    <xf borderId="48" fillId="5" fontId="20" numFmtId="10" xfId="0" applyAlignment="1" applyBorder="1" applyFont="1" applyNumberFormat="1">
      <alignment horizontal="right" readingOrder="0"/>
    </xf>
    <xf borderId="0" fillId="7" fontId="4" numFmtId="0" xfId="0" applyAlignment="1" applyFont="1">
      <alignment vertical="bottom"/>
    </xf>
    <xf borderId="35" fillId="5" fontId="4" numFmtId="9" xfId="0" applyAlignment="1" applyBorder="1" applyFont="1" applyNumberFormat="1">
      <alignment horizontal="right" readingOrder="0" vertical="bottom"/>
    </xf>
    <xf borderId="0" fillId="5" fontId="4" numFmtId="9" xfId="0" applyAlignment="1" applyFont="1" applyNumberFormat="1">
      <alignment horizontal="right" readingOrder="0" vertical="bottom"/>
    </xf>
    <xf borderId="36" fillId="9" fontId="8" numFmtId="9" xfId="0" applyAlignment="1" applyBorder="1" applyFont="1" applyNumberFormat="1">
      <alignment horizontal="right" readingOrder="0" vertical="bottom"/>
    </xf>
    <xf borderId="37" fillId="5" fontId="4" numFmtId="9" xfId="0" applyAlignment="1" applyBorder="1" applyFont="1" applyNumberFormat="1">
      <alignment horizontal="right" readingOrder="0" vertical="bottom"/>
    </xf>
    <xf borderId="38" fillId="5" fontId="4" numFmtId="9" xfId="0" applyAlignment="1" applyBorder="1" applyFont="1" applyNumberFormat="1">
      <alignment horizontal="right" readingOrder="0" vertical="bottom"/>
    </xf>
    <xf borderId="39" fillId="5" fontId="4" numFmtId="9" xfId="0" applyAlignment="1" applyBorder="1" applyFont="1" applyNumberFormat="1">
      <alignment horizontal="right" readingOrder="0" vertical="bottom"/>
    </xf>
    <xf borderId="40" fillId="5" fontId="20" numFmtId="9" xfId="0" applyAlignment="1" applyBorder="1" applyFont="1" applyNumberFormat="1">
      <alignment horizontal="right" vertical="bottom"/>
    </xf>
    <xf borderId="0" fillId="5" fontId="20" numFmtId="9" xfId="0" applyAlignment="1" applyFont="1" applyNumberFormat="1">
      <alignment horizontal="right" vertical="bottom"/>
    </xf>
    <xf borderId="40" fillId="5" fontId="20" numFmtId="9" xfId="0" applyAlignment="1" applyBorder="1" applyFont="1" applyNumberFormat="1">
      <alignment horizontal="right" readingOrder="0" vertical="bottom"/>
    </xf>
    <xf borderId="0" fillId="5" fontId="20" numFmtId="9" xfId="0" applyAlignment="1" applyFont="1" applyNumberFormat="1">
      <alignment horizontal="right" readingOrder="0" vertical="bottom"/>
    </xf>
    <xf borderId="0" fillId="14" fontId="25" numFmtId="165" xfId="0" applyAlignment="1" applyFill="1" applyFont="1" applyNumberFormat="1">
      <alignment readingOrder="0"/>
    </xf>
    <xf borderId="35" fillId="14" fontId="0" numFmtId="165" xfId="0" applyBorder="1" applyFont="1" applyNumberFormat="1"/>
    <xf borderId="0" fillId="14" fontId="0" numFmtId="165" xfId="0" applyFont="1" applyNumberFormat="1"/>
    <xf borderId="36" fillId="9" fontId="0" numFmtId="165" xfId="0" applyBorder="1" applyFont="1" applyNumberFormat="1"/>
    <xf borderId="37" fillId="14" fontId="0" numFmtId="165" xfId="0" applyBorder="1" applyFont="1" applyNumberFormat="1"/>
    <xf borderId="38" fillId="14" fontId="0" numFmtId="165" xfId="0" applyBorder="1" applyFont="1" applyNumberFormat="1"/>
    <xf borderId="39" fillId="14" fontId="0" numFmtId="165" xfId="0" applyBorder="1" applyFont="1" applyNumberFormat="1"/>
    <xf borderId="40" fillId="14" fontId="26" numFmtId="165" xfId="0" applyBorder="1" applyFont="1" applyNumberFormat="1"/>
    <xf borderId="0" fillId="14" fontId="26" numFmtId="165" xfId="0" applyFont="1" applyNumberFormat="1"/>
    <xf borderId="0" fillId="15" fontId="25" numFmtId="165" xfId="0" applyAlignment="1" applyFill="1" applyFont="1" applyNumberFormat="1">
      <alignment readingOrder="0"/>
    </xf>
    <xf borderId="35" fillId="15" fontId="0" numFmtId="165" xfId="0" applyBorder="1" applyFont="1" applyNumberFormat="1"/>
    <xf borderId="0" fillId="15" fontId="0" numFmtId="165" xfId="0" applyFont="1" applyNumberFormat="1"/>
    <xf borderId="37" fillId="15" fontId="0" numFmtId="165" xfId="0" applyBorder="1" applyFont="1" applyNumberFormat="1"/>
    <xf borderId="38" fillId="15" fontId="0" numFmtId="165" xfId="0" applyBorder="1" applyFont="1" applyNumberFormat="1"/>
    <xf borderId="39" fillId="15" fontId="0" numFmtId="165" xfId="0" applyBorder="1" applyFont="1" applyNumberFormat="1"/>
    <xf borderId="40" fillId="15" fontId="26" numFmtId="165" xfId="0" applyBorder="1" applyFont="1" applyNumberFormat="1"/>
    <xf borderId="0" fillId="15" fontId="26" numFmtId="165" xfId="0" applyFont="1" applyNumberFormat="1"/>
    <xf borderId="0" fillId="16" fontId="27" numFmtId="165" xfId="0" applyAlignment="1" applyFill="1" applyFont="1" applyNumberFormat="1">
      <alignment readingOrder="0"/>
    </xf>
    <xf borderId="35" fillId="16" fontId="28" numFmtId="165" xfId="0" applyBorder="1" applyFont="1" applyNumberFormat="1"/>
    <xf borderId="0" fillId="16" fontId="28" numFmtId="165" xfId="0" applyFont="1" applyNumberFormat="1"/>
    <xf borderId="37" fillId="16" fontId="28" numFmtId="165" xfId="0" applyBorder="1" applyFont="1" applyNumberFormat="1"/>
    <xf borderId="38" fillId="16" fontId="28" numFmtId="165" xfId="0" applyBorder="1" applyFont="1" applyNumberFormat="1"/>
    <xf borderId="39" fillId="16" fontId="28" numFmtId="165" xfId="0" applyBorder="1" applyFont="1" applyNumberFormat="1"/>
    <xf borderId="40" fillId="16" fontId="29" numFmtId="165" xfId="0" applyBorder="1" applyFont="1" applyNumberFormat="1"/>
    <xf borderId="0" fillId="16" fontId="29" numFmtId="165" xfId="0" applyFont="1" applyNumberFormat="1"/>
    <xf borderId="0" fillId="7" fontId="4" numFmtId="1" xfId="0" applyAlignment="1" applyFont="1" applyNumberFormat="1">
      <alignment readingOrder="0" vertical="bottom"/>
    </xf>
    <xf borderId="35" fillId="5" fontId="8" numFmtId="1" xfId="0" applyAlignment="1" applyBorder="1" applyFont="1" applyNumberFormat="1">
      <alignment readingOrder="0"/>
    </xf>
    <xf borderId="0" fillId="6" fontId="8" numFmtId="1" xfId="0" applyFont="1" applyNumberFormat="1"/>
    <xf borderId="0" fillId="9" fontId="8" numFmtId="1" xfId="0" applyFont="1" applyNumberFormat="1"/>
    <xf borderId="40" fillId="6" fontId="20" numFmtId="1" xfId="0" applyAlignment="1" applyBorder="1" applyFont="1" applyNumberFormat="1">
      <alignment horizontal="right" readingOrder="0"/>
    </xf>
    <xf borderId="0" fillId="6" fontId="20" numFmtId="1" xfId="0" applyAlignment="1" applyFont="1" applyNumberFormat="1">
      <alignment horizontal="right" readingOrder="0"/>
    </xf>
    <xf borderId="47" fillId="5" fontId="8" numFmtId="10" xfId="0" applyAlignment="1" applyBorder="1" applyFont="1" applyNumberFormat="1">
      <alignment horizontal="right" readingOrder="0" vertical="bottom"/>
    </xf>
    <xf borderId="48" fillId="5" fontId="8" numFmtId="9" xfId="0" applyAlignment="1" applyBorder="1" applyFont="1" applyNumberFormat="1">
      <alignment horizontal="right" readingOrder="0" vertical="bottom"/>
    </xf>
    <xf borderId="49" fillId="5" fontId="8" numFmtId="9" xfId="0" applyAlignment="1" applyBorder="1" applyFont="1" applyNumberFormat="1">
      <alignment horizontal="right" readingOrder="0" vertical="bottom"/>
    </xf>
    <xf borderId="51" fillId="5" fontId="8" numFmtId="9" xfId="0" applyAlignment="1" applyBorder="1" applyFont="1" applyNumberFormat="1">
      <alignment horizontal="right" readingOrder="0" vertical="bottom"/>
    </xf>
    <xf borderId="53" fillId="5" fontId="20" numFmtId="10" xfId="0" applyAlignment="1" applyBorder="1" applyFont="1" applyNumberFormat="1">
      <alignment horizontal="right" readingOrder="0"/>
    </xf>
    <xf borderId="35" fillId="5" fontId="4" numFmtId="9" xfId="0" applyAlignment="1" applyBorder="1" applyFont="1" applyNumberFormat="1">
      <alignment horizontal="right" vertical="bottom"/>
    </xf>
    <xf borderId="0" fillId="5" fontId="4" numFmtId="9" xfId="0" applyAlignment="1" applyFont="1" applyNumberFormat="1">
      <alignment horizontal="right" vertical="bottom"/>
    </xf>
    <xf borderId="36" fillId="9" fontId="8" numFmtId="9" xfId="0" applyAlignment="1" applyBorder="1" applyFont="1" applyNumberFormat="1">
      <alignment horizontal="right" vertical="bottom"/>
    </xf>
    <xf borderId="37" fillId="5" fontId="4" numFmtId="9" xfId="0" applyAlignment="1" applyBorder="1" applyFont="1" applyNumberFormat="1">
      <alignment horizontal="right" vertical="bottom"/>
    </xf>
    <xf borderId="38" fillId="5" fontId="4" numFmtId="9" xfId="0" applyAlignment="1" applyBorder="1" applyFont="1" applyNumberFormat="1">
      <alignment horizontal="right" vertical="bottom"/>
    </xf>
    <xf borderId="39" fillId="5" fontId="4" numFmtId="9" xfId="0" applyAlignment="1" applyBorder="1" applyFont="1" applyNumberFormat="1">
      <alignment horizontal="right" vertical="bottom"/>
    </xf>
    <xf borderId="0" fillId="17" fontId="21" numFmtId="10" xfId="0" applyAlignment="1" applyFill="1" applyFont="1" applyNumberFormat="1">
      <alignment readingOrder="0" vertical="bottom"/>
    </xf>
    <xf borderId="35" fillId="17" fontId="21" numFmtId="10" xfId="0" applyAlignment="1" applyBorder="1" applyFont="1" applyNumberFormat="1">
      <alignment horizontal="right" readingOrder="0"/>
    </xf>
    <xf borderId="0" fillId="17" fontId="21" numFmtId="10" xfId="0" applyAlignment="1" applyFont="1" applyNumberFormat="1">
      <alignment horizontal="right" readingOrder="0"/>
    </xf>
    <xf borderId="36" fillId="9" fontId="8" numFmtId="10" xfId="0" applyAlignment="1" applyBorder="1" applyFont="1" applyNumberFormat="1">
      <alignment horizontal="right" readingOrder="0"/>
    </xf>
    <xf borderId="37" fillId="17" fontId="21" numFmtId="10" xfId="0" applyAlignment="1" applyBorder="1" applyFont="1" applyNumberFormat="1">
      <alignment horizontal="right" readingOrder="0"/>
    </xf>
    <xf borderId="38" fillId="17" fontId="21" numFmtId="10" xfId="0" applyAlignment="1" applyBorder="1" applyFont="1" applyNumberFormat="1">
      <alignment horizontal="right" readingOrder="0"/>
    </xf>
    <xf borderId="39" fillId="17" fontId="21" numFmtId="10" xfId="0" applyAlignment="1" applyBorder="1" applyFont="1" applyNumberFormat="1">
      <alignment horizontal="right" readingOrder="0"/>
    </xf>
    <xf borderId="40" fillId="17" fontId="23" numFmtId="10" xfId="0" applyAlignment="1" applyBorder="1" applyFont="1" applyNumberFormat="1">
      <alignment horizontal="right" readingOrder="0"/>
    </xf>
    <xf borderId="0" fillId="17" fontId="23" numFmtId="10" xfId="0" applyAlignment="1" applyFont="1" applyNumberFormat="1">
      <alignment horizontal="right" readingOrder="0"/>
    </xf>
    <xf borderId="0" fillId="18" fontId="21" numFmtId="0" xfId="0" applyAlignment="1" applyFill="1" applyFont="1">
      <alignment readingOrder="0" vertical="bottom"/>
    </xf>
    <xf borderId="35" fillId="18" fontId="21" numFmtId="3" xfId="0" applyAlignment="1" applyBorder="1" applyFont="1" applyNumberFormat="1">
      <alignment horizontal="right" readingOrder="0"/>
    </xf>
    <xf borderId="0" fillId="18" fontId="21" numFmtId="3" xfId="0" applyAlignment="1" applyFont="1" applyNumberFormat="1">
      <alignment horizontal="right" readingOrder="0"/>
    </xf>
    <xf borderId="36" fillId="9" fontId="8" numFmtId="3" xfId="0" applyAlignment="1" applyBorder="1" applyFont="1" applyNumberFormat="1">
      <alignment horizontal="right" readingOrder="0"/>
    </xf>
    <xf borderId="37" fillId="18" fontId="21" numFmtId="3" xfId="0" applyAlignment="1" applyBorder="1" applyFont="1" applyNumberFormat="1">
      <alignment horizontal="right" readingOrder="0"/>
    </xf>
    <xf borderId="38" fillId="18" fontId="21" numFmtId="3" xfId="0" applyAlignment="1" applyBorder="1" applyFont="1" applyNumberFormat="1">
      <alignment horizontal="right" readingOrder="0"/>
    </xf>
    <xf borderId="39" fillId="18" fontId="21" numFmtId="3" xfId="0" applyAlignment="1" applyBorder="1" applyFont="1" applyNumberFormat="1">
      <alignment horizontal="right" readingOrder="0"/>
    </xf>
    <xf borderId="40" fillId="18" fontId="23" numFmtId="3" xfId="0" applyAlignment="1" applyBorder="1" applyFont="1" applyNumberFormat="1">
      <alignment horizontal="right" readingOrder="0"/>
    </xf>
    <xf borderId="0" fillId="18" fontId="23" numFmtId="3" xfId="0" applyAlignment="1" applyFont="1" applyNumberFormat="1">
      <alignment horizontal="right" readingOrder="0"/>
    </xf>
    <xf borderId="0" fillId="17" fontId="21" numFmtId="0" xfId="0" applyAlignment="1" applyFont="1">
      <alignment readingOrder="0" vertical="bottom"/>
    </xf>
    <xf borderId="47" fillId="17" fontId="21" numFmtId="3" xfId="0" applyAlignment="1" applyBorder="1" applyFont="1" applyNumberFormat="1">
      <alignment horizontal="right" readingOrder="0"/>
    </xf>
    <xf borderId="51" fillId="17" fontId="21" numFmtId="3" xfId="0" applyAlignment="1" applyBorder="1" applyFont="1" applyNumberFormat="1">
      <alignment horizontal="right" readingOrder="0"/>
    </xf>
    <xf borderId="54" fillId="17" fontId="21" numFmtId="3" xfId="0" applyAlignment="1" applyBorder="1" applyFont="1" applyNumberFormat="1">
      <alignment horizontal="right" readingOrder="0"/>
    </xf>
    <xf borderId="50" fillId="9" fontId="8" numFmtId="3" xfId="0" applyAlignment="1" applyBorder="1" applyFont="1" applyNumberFormat="1">
      <alignment horizontal="right" readingOrder="0"/>
    </xf>
    <xf borderId="37" fillId="17" fontId="21" numFmtId="3" xfId="0" applyAlignment="1" applyBorder="1" applyFont="1" applyNumberFormat="1">
      <alignment horizontal="right" readingOrder="0"/>
    </xf>
    <xf borderId="38" fillId="17" fontId="21" numFmtId="3" xfId="0" applyAlignment="1" applyBorder="1" applyFont="1" applyNumberFormat="1">
      <alignment horizontal="right" readingOrder="0"/>
    </xf>
    <xf borderId="52" fillId="17" fontId="21" numFmtId="3" xfId="0" applyAlignment="1" applyBorder="1" applyFont="1" applyNumberFormat="1">
      <alignment horizontal="right" readingOrder="0"/>
    </xf>
    <xf borderId="53" fillId="17" fontId="23" numFmtId="3" xfId="0" applyAlignment="1" applyBorder="1" applyFont="1" applyNumberFormat="1">
      <alignment horizontal="right" readingOrder="0"/>
    </xf>
    <xf borderId="51" fillId="17" fontId="23" numFmtId="4" xfId="0" applyAlignment="1" applyBorder="1" applyFont="1" applyNumberFormat="1">
      <alignment horizontal="right" readingOrder="0"/>
    </xf>
    <xf borderId="48" fillId="17" fontId="23" numFmtId="4" xfId="0" applyAlignment="1" applyBorder="1" applyFont="1" applyNumberFormat="1">
      <alignment horizontal="right" readingOrder="0"/>
    </xf>
    <xf borderId="0" fillId="19" fontId="6" numFmtId="165" xfId="0" applyAlignment="1" applyFill="1" applyFont="1" applyNumberFormat="1">
      <alignment vertical="bottom"/>
    </xf>
    <xf borderId="47" fillId="19" fontId="8" numFmtId="165" xfId="0" applyAlignment="1" applyBorder="1" applyFont="1" applyNumberFormat="1">
      <alignment readingOrder="0"/>
    </xf>
    <xf borderId="51" fillId="19" fontId="8" numFmtId="165" xfId="0" applyAlignment="1" applyBorder="1" applyFont="1" applyNumberFormat="1">
      <alignment readingOrder="0"/>
    </xf>
    <xf borderId="48" fillId="19" fontId="8" numFmtId="165" xfId="0" applyAlignment="1" applyBorder="1" applyFont="1" applyNumberFormat="1">
      <alignment horizontal="right" readingOrder="0"/>
    </xf>
    <xf borderId="49" fillId="19" fontId="8" numFmtId="165" xfId="0" applyAlignment="1" applyBorder="1" applyFont="1" applyNumberFormat="1">
      <alignment readingOrder="0"/>
    </xf>
    <xf borderId="50" fillId="9" fontId="8" numFmtId="165" xfId="0" applyAlignment="1" applyBorder="1" applyFont="1" applyNumberFormat="1">
      <alignment readingOrder="0"/>
    </xf>
    <xf borderId="48" fillId="19" fontId="8" numFmtId="165" xfId="0" applyAlignment="1" applyBorder="1" applyFont="1" applyNumberFormat="1">
      <alignment readingOrder="0"/>
    </xf>
    <xf borderId="37" fillId="19" fontId="8" numFmtId="165" xfId="0" applyAlignment="1" applyBorder="1" applyFont="1" applyNumberFormat="1">
      <alignment readingOrder="0"/>
    </xf>
    <xf borderId="38" fillId="19" fontId="8" numFmtId="165" xfId="0" applyAlignment="1" applyBorder="1" applyFont="1" applyNumberFormat="1">
      <alignment readingOrder="0"/>
    </xf>
    <xf borderId="52" fillId="19" fontId="8" numFmtId="165" xfId="0" applyAlignment="1" applyBorder="1" applyFont="1" applyNumberFormat="1">
      <alignment readingOrder="0"/>
    </xf>
    <xf borderId="53" fillId="19" fontId="20" numFmtId="165" xfId="0" applyAlignment="1" applyBorder="1" applyFont="1" applyNumberFormat="1">
      <alignment horizontal="right"/>
    </xf>
    <xf borderId="51" fillId="19" fontId="20" numFmtId="165" xfId="0" applyAlignment="1" applyBorder="1" applyFont="1" applyNumberFormat="1">
      <alignment horizontal="right" readingOrder="0"/>
    </xf>
    <xf borderId="48" fillId="19" fontId="20" numFmtId="165" xfId="0" applyAlignment="1" applyBorder="1" applyFont="1" applyNumberFormat="1">
      <alignment horizontal="right" readingOrder="0"/>
    </xf>
    <xf borderId="0" fillId="4" fontId="6" numFmtId="165" xfId="0" applyAlignment="1" applyFont="1" applyNumberFormat="1">
      <alignment readingOrder="0" vertical="bottom"/>
    </xf>
    <xf borderId="55" fillId="4" fontId="8" numFmtId="165" xfId="0" applyAlignment="1" applyBorder="1" applyFont="1" applyNumberFormat="1">
      <alignment readingOrder="0"/>
    </xf>
    <xf borderId="56" fillId="4" fontId="8" numFmtId="165" xfId="0" applyAlignment="1" applyBorder="1" applyFont="1" applyNumberFormat="1">
      <alignment readingOrder="0"/>
    </xf>
    <xf borderId="57" fillId="4" fontId="8" numFmtId="165" xfId="0" applyBorder="1" applyFont="1" applyNumberFormat="1"/>
    <xf borderId="58" fillId="9" fontId="8" numFmtId="165" xfId="0" applyBorder="1" applyFont="1" applyNumberFormat="1"/>
    <xf borderId="56" fillId="4" fontId="8" numFmtId="165" xfId="0" applyBorder="1" applyFont="1" applyNumberFormat="1"/>
    <xf borderId="59" fillId="4" fontId="8" numFmtId="165" xfId="0" applyBorder="1" applyFont="1" applyNumberFormat="1"/>
    <xf borderId="37" fillId="4" fontId="8" numFmtId="165" xfId="0" applyBorder="1" applyFont="1" applyNumberFormat="1"/>
    <xf borderId="38" fillId="4" fontId="8" numFmtId="165" xfId="0" applyBorder="1" applyFont="1" applyNumberFormat="1"/>
    <xf borderId="52" fillId="4" fontId="8" numFmtId="165" xfId="0" applyBorder="1" applyFont="1" applyNumberFormat="1"/>
    <xf borderId="51" fillId="4" fontId="20" numFmtId="165" xfId="0" applyAlignment="1" applyBorder="1" applyFont="1" applyNumberFormat="1">
      <alignment horizontal="right"/>
    </xf>
    <xf borderId="48" fillId="4" fontId="20" numFmtId="165" xfId="0" applyAlignment="1" applyBorder="1" applyFont="1" applyNumberFormat="1">
      <alignment horizontal="right"/>
    </xf>
    <xf borderId="0" fillId="19" fontId="8" numFmtId="165" xfId="0" applyAlignment="1" applyFont="1" applyNumberFormat="1">
      <alignment readingOrder="0"/>
    </xf>
    <xf borderId="36" fillId="9" fontId="8" numFmtId="165" xfId="0" applyAlignment="1" applyBorder="1" applyFont="1" applyNumberFormat="1">
      <alignment readingOrder="0"/>
    </xf>
    <xf borderId="51" fillId="19" fontId="20" numFmtId="165" xfId="0" applyAlignment="1" applyBorder="1" applyFont="1" applyNumberFormat="1">
      <alignment readingOrder="0"/>
    </xf>
    <xf borderId="41" fillId="4" fontId="8" numFmtId="165" xfId="0" applyAlignment="1" applyBorder="1" applyFont="1" applyNumberFormat="1">
      <alignment readingOrder="0"/>
    </xf>
    <xf borderId="45" fillId="4" fontId="8" numFmtId="165" xfId="0" applyAlignment="1" applyBorder="1" applyFont="1" applyNumberFormat="1">
      <alignment readingOrder="0"/>
    </xf>
    <xf borderId="60" fillId="4" fontId="8" numFmtId="165" xfId="0" applyAlignment="1" applyBorder="1" applyFont="1" applyNumberFormat="1">
      <alignment readingOrder="0"/>
    </xf>
    <xf borderId="44" fillId="9" fontId="8" numFmtId="165" xfId="0" applyAlignment="1" applyBorder="1" applyFont="1" applyNumberFormat="1">
      <alignment readingOrder="0"/>
    </xf>
    <xf borderId="37" fillId="4" fontId="8" numFmtId="165" xfId="0" applyAlignment="1" applyBorder="1" applyFont="1" applyNumberFormat="1">
      <alignment readingOrder="0"/>
    </xf>
    <xf borderId="38" fillId="4" fontId="8" numFmtId="165" xfId="0" applyAlignment="1" applyBorder="1" applyFont="1" applyNumberFormat="1">
      <alignment readingOrder="0"/>
    </xf>
    <xf borderId="52" fillId="4" fontId="8" numFmtId="165" xfId="0" applyAlignment="1" applyBorder="1" applyFont="1" applyNumberFormat="1">
      <alignment readingOrder="0"/>
    </xf>
    <xf borderId="51" fillId="4" fontId="20" numFmtId="165" xfId="0" applyAlignment="1" applyBorder="1" applyFont="1" applyNumberFormat="1">
      <alignment horizontal="right" readingOrder="0"/>
    </xf>
    <xf borderId="48" fillId="4" fontId="20" numFmtId="165" xfId="0" applyAlignment="1" applyBorder="1" applyFont="1" applyNumberFormat="1">
      <alignment horizontal="right" readingOrder="0"/>
    </xf>
    <xf borderId="47" fillId="19" fontId="19" numFmtId="165" xfId="0" applyAlignment="1" applyBorder="1" applyFont="1" applyNumberFormat="1">
      <alignment readingOrder="0"/>
    </xf>
    <xf borderId="51" fillId="19" fontId="19" numFmtId="165" xfId="0" applyAlignment="1" applyBorder="1" applyFont="1" applyNumberFormat="1">
      <alignment readingOrder="0"/>
    </xf>
    <xf borderId="54" fillId="19" fontId="19" numFmtId="165" xfId="0" applyAlignment="1" applyBorder="1" applyFont="1" applyNumberFormat="1">
      <alignment readingOrder="0"/>
    </xf>
    <xf borderId="37" fillId="19" fontId="19" numFmtId="165" xfId="0" applyAlignment="1" applyBorder="1" applyFont="1" applyNumberFormat="1">
      <alignment readingOrder="0"/>
    </xf>
    <xf borderId="38" fillId="19" fontId="19" numFmtId="165" xfId="0" applyAlignment="1" applyBorder="1" applyFont="1" applyNumberFormat="1">
      <alignment readingOrder="0"/>
    </xf>
    <xf borderId="52" fillId="19" fontId="19" numFmtId="165" xfId="0" applyAlignment="1" applyBorder="1" applyFont="1" applyNumberFormat="1">
      <alignment readingOrder="0"/>
    </xf>
    <xf borderId="61" fillId="20" fontId="19" numFmtId="165" xfId="0" applyAlignment="1" applyBorder="1" applyFill="1" applyFont="1" applyNumberFormat="1">
      <alignment readingOrder="0"/>
    </xf>
    <xf borderId="0" fillId="20" fontId="19" numFmtId="165" xfId="0" applyAlignment="1" applyFont="1" applyNumberFormat="1">
      <alignment readingOrder="0"/>
    </xf>
    <xf borderId="47" fillId="20" fontId="19" numFmtId="165" xfId="0" applyAlignment="1" applyBorder="1" applyFont="1" applyNumberFormat="1">
      <alignment readingOrder="0"/>
    </xf>
    <xf borderId="51" fillId="20" fontId="19" numFmtId="165" xfId="0" applyAlignment="1" applyBorder="1" applyFont="1" applyNumberFormat="1">
      <alignment readingOrder="0"/>
    </xf>
    <xf borderId="54" fillId="20" fontId="19" numFmtId="165" xfId="0" applyAlignment="1" applyBorder="1" applyFont="1" applyNumberFormat="1">
      <alignment readingOrder="0"/>
    </xf>
    <xf borderId="50" fillId="9" fontId="8" numFmtId="165" xfId="0" applyAlignment="1" applyBorder="1" applyFont="1" applyNumberFormat="1">
      <alignment readingOrder="0"/>
    </xf>
    <xf borderId="37" fillId="20" fontId="19" numFmtId="165" xfId="0" applyAlignment="1" applyBorder="1" applyFont="1" applyNumberFormat="1">
      <alignment readingOrder="0"/>
    </xf>
    <xf borderId="38" fillId="20" fontId="19" numFmtId="165" xfId="0" applyAlignment="1" applyBorder="1" applyFont="1" applyNumberFormat="1">
      <alignment readingOrder="0"/>
    </xf>
    <xf borderId="62" fillId="20" fontId="19" numFmtId="165" xfId="0" applyAlignment="1" applyBorder="1" applyFont="1" applyNumberFormat="1">
      <alignment readingOrder="0"/>
    </xf>
    <xf borderId="63" fillId="20" fontId="20" numFmtId="165" xfId="0" applyAlignment="1" applyBorder="1" applyFont="1" applyNumberFormat="1">
      <alignment horizontal="right"/>
    </xf>
    <xf borderId="51" fillId="20" fontId="20" numFmtId="165" xfId="0" applyAlignment="1" applyBorder="1" applyFont="1" applyNumberFormat="1">
      <alignment horizontal="right"/>
    </xf>
    <xf borderId="61" fillId="0" fontId="8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47" fillId="0" fontId="8" numFmtId="0" xfId="0" applyAlignment="1" applyBorder="1" applyFont="1">
      <alignment readingOrder="0"/>
    </xf>
    <xf borderId="48" fillId="0" fontId="8" numFmtId="0" xfId="0" applyAlignment="1" applyBorder="1" applyFont="1">
      <alignment readingOrder="0"/>
    </xf>
    <xf borderId="49" fillId="0" fontId="8" numFmtId="0" xfId="0" applyAlignment="1" applyBorder="1" applyFont="1">
      <alignment readingOrder="0"/>
    </xf>
    <xf borderId="50" fillId="9" fontId="8" numFmtId="0" xfId="0" applyAlignment="1" applyBorder="1" applyFont="1">
      <alignment readingOrder="0"/>
    </xf>
    <xf borderId="51" fillId="0" fontId="8" numFmtId="0" xfId="0" applyAlignment="1" applyBorder="1" applyFont="1">
      <alignment readingOrder="0"/>
    </xf>
    <xf borderId="37" fillId="0" fontId="8" numFmtId="0" xfId="0" applyAlignment="1" applyBorder="1" applyFont="1">
      <alignment readingOrder="0"/>
    </xf>
    <xf borderId="38" fillId="0" fontId="8" numFmtId="0" xfId="0" applyAlignment="1" applyBorder="1" applyFont="1">
      <alignment readingOrder="0"/>
    </xf>
    <xf borderId="39" fillId="0" fontId="8" numFmtId="0" xfId="0" applyAlignment="1" applyBorder="1" applyFont="1">
      <alignment readingOrder="0"/>
    </xf>
    <xf borderId="40" fillId="0" fontId="20" numFmtId="0" xfId="0" applyAlignment="1" applyBorder="1" applyFont="1">
      <alignment horizontal="right"/>
    </xf>
    <xf borderId="51" fillId="0" fontId="20" numFmtId="0" xfId="0" applyAlignment="1" applyBorder="1" applyFont="1">
      <alignment horizontal="right" readingOrder="0"/>
    </xf>
    <xf borderId="48" fillId="0" fontId="20" numFmtId="0" xfId="0" applyAlignment="1" applyBorder="1" applyFont="1">
      <alignment horizontal="right" readingOrder="0"/>
    </xf>
    <xf borderId="59" fillId="2" fontId="21" numFmtId="0" xfId="0" applyAlignment="1" applyBorder="1" applyFont="1">
      <alignment horizontal="left" readingOrder="0"/>
    </xf>
    <xf borderId="0" fillId="3" fontId="21" numFmtId="0" xfId="0" applyAlignment="1" applyFont="1">
      <alignment horizontal="left" readingOrder="0"/>
    </xf>
    <xf borderId="35" fillId="0" fontId="19" numFmtId="0" xfId="0" applyBorder="1" applyFont="1"/>
    <xf borderId="0" fillId="0" fontId="19" numFmtId="0" xfId="0" applyAlignment="1" applyFont="1">
      <alignment readingOrder="0"/>
    </xf>
    <xf borderId="0" fillId="0" fontId="19" numFmtId="0" xfId="0" applyFont="1"/>
    <xf borderId="36" fillId="21" fontId="21" numFmtId="0" xfId="0" applyAlignment="1" applyBorder="1" applyFill="1" applyFont="1">
      <alignment readingOrder="0"/>
    </xf>
    <xf borderId="37" fillId="0" fontId="19" numFmtId="0" xfId="0" applyBorder="1" applyFont="1"/>
    <xf borderId="38" fillId="0" fontId="19" numFmtId="0" xfId="0" applyBorder="1" applyFont="1"/>
    <xf borderId="39" fillId="0" fontId="19" numFmtId="0" xfId="0" applyBorder="1" applyFont="1"/>
    <xf borderId="0" fillId="0" fontId="20" numFmtId="0" xfId="0" applyAlignment="1" applyFont="1">
      <alignment horizontal="right"/>
    </xf>
    <xf borderId="64" fillId="0" fontId="30" numFmtId="165" xfId="0" applyAlignment="1" applyBorder="1" applyFont="1" applyNumberFormat="1">
      <alignment readingOrder="0" vertical="bottom"/>
    </xf>
    <xf borderId="65" fillId="0" fontId="30" numFmtId="165" xfId="0" applyAlignment="1" applyBorder="1" applyFont="1" applyNumberFormat="1">
      <alignment vertical="bottom"/>
    </xf>
    <xf borderId="66" fillId="0" fontId="8" numFmtId="165" xfId="0" applyBorder="1" applyFont="1" applyNumberFormat="1"/>
    <xf borderId="64" fillId="0" fontId="8" numFmtId="165" xfId="0" applyBorder="1" applyFont="1" applyNumberFormat="1"/>
    <xf borderId="65" fillId="0" fontId="8" numFmtId="165" xfId="0" applyBorder="1" applyFont="1" applyNumberFormat="1"/>
    <xf borderId="67" fillId="9" fontId="8" numFmtId="165" xfId="0" applyBorder="1" applyFont="1" applyNumberFormat="1"/>
    <xf borderId="68" fillId="0" fontId="8" numFmtId="165" xfId="0" applyBorder="1" applyFont="1" applyNumberFormat="1"/>
    <xf borderId="69" fillId="0" fontId="8" numFmtId="165" xfId="0" applyBorder="1" applyFont="1" applyNumberFormat="1"/>
    <xf borderId="68" fillId="0" fontId="20" numFmtId="165" xfId="0" applyAlignment="1" applyBorder="1" applyFont="1" applyNumberFormat="1">
      <alignment horizontal="right"/>
    </xf>
    <xf borderId="64" fillId="0" fontId="20" numFmtId="165" xfId="0" applyBorder="1" applyFont="1" applyNumberFormat="1"/>
    <xf borderId="64" fillId="3" fontId="30" numFmtId="165" xfId="0" applyAlignment="1" applyBorder="1" applyFont="1" applyNumberFormat="1">
      <alignment vertical="bottom"/>
    </xf>
    <xf borderId="65" fillId="3" fontId="30" numFmtId="165" xfId="0" applyAlignment="1" applyBorder="1" applyFont="1" applyNumberFormat="1">
      <alignment vertical="bottom"/>
    </xf>
    <xf borderId="66" fillId="3" fontId="8" numFmtId="165" xfId="0" applyBorder="1" applyFont="1" applyNumberFormat="1"/>
    <xf borderId="64" fillId="3" fontId="8" numFmtId="165" xfId="0" applyBorder="1" applyFont="1" applyNumberFormat="1"/>
    <xf borderId="65" fillId="3" fontId="8" numFmtId="165" xfId="0" applyBorder="1" applyFont="1" applyNumberFormat="1"/>
    <xf borderId="69" fillId="3" fontId="8" numFmtId="165" xfId="0" applyBorder="1" applyFont="1" applyNumberFormat="1"/>
    <xf borderId="68" fillId="3" fontId="20" numFmtId="165" xfId="0" applyAlignment="1" applyBorder="1" applyFont="1" applyNumberFormat="1">
      <alignment horizontal="right"/>
    </xf>
    <xf borderId="64" fillId="3" fontId="20" numFmtId="165" xfId="0" applyBorder="1" applyFont="1" applyNumberFormat="1"/>
    <xf borderId="64" fillId="14" fontId="30" numFmtId="165" xfId="0" applyAlignment="1" applyBorder="1" applyFont="1" applyNumberFormat="1">
      <alignment vertical="bottom"/>
    </xf>
    <xf borderId="65" fillId="14" fontId="30" numFmtId="165" xfId="0" applyAlignment="1" applyBorder="1" applyFont="1" applyNumberFormat="1">
      <alignment vertical="bottom"/>
    </xf>
    <xf borderId="70" fillId="14" fontId="8" numFmtId="165" xfId="0" applyBorder="1" applyFont="1" applyNumberFormat="1"/>
    <xf borderId="71" fillId="14" fontId="8" numFmtId="165" xfId="0" applyBorder="1" applyFont="1" applyNumberFormat="1"/>
    <xf borderId="65" fillId="14" fontId="8" numFmtId="165" xfId="0" applyBorder="1" applyFont="1" applyNumberFormat="1"/>
    <xf borderId="64" fillId="14" fontId="8" numFmtId="165" xfId="0" applyBorder="1" applyFont="1" applyNumberFormat="1"/>
    <xf borderId="69" fillId="14" fontId="8" numFmtId="165" xfId="0" applyBorder="1" applyFont="1" applyNumberFormat="1"/>
    <xf borderId="68" fillId="14" fontId="20" numFmtId="165" xfId="0" applyAlignment="1" applyBorder="1" applyFont="1" applyNumberFormat="1">
      <alignment horizontal="right"/>
    </xf>
    <xf borderId="64" fillId="14" fontId="20" numFmtId="165" xfId="0" applyBorder="1" applyFont="1" applyNumberFormat="1"/>
    <xf borderId="64" fillId="6" fontId="4" numFmtId="165" xfId="0" applyAlignment="1" applyBorder="1" applyFont="1" applyNumberFormat="1">
      <alignment readingOrder="0" vertical="bottom"/>
    </xf>
    <xf borderId="65" fillId="6" fontId="30" numFmtId="165" xfId="0" applyAlignment="1" applyBorder="1" applyFont="1" applyNumberFormat="1">
      <alignment vertical="bottom"/>
    </xf>
    <xf borderId="72" fillId="6" fontId="8" numFmtId="165" xfId="0" applyBorder="1" applyFont="1" applyNumberFormat="1"/>
    <xf borderId="73" fillId="6" fontId="8" numFmtId="165" xfId="0" applyBorder="1" applyFont="1" applyNumberFormat="1"/>
    <xf borderId="74" fillId="6" fontId="8" numFmtId="165" xfId="0" applyBorder="1" applyFont="1" applyNumberFormat="1"/>
    <xf borderId="75" fillId="6" fontId="8" numFmtId="165" xfId="0" applyBorder="1" applyFont="1" applyNumberFormat="1"/>
    <xf borderId="68" fillId="6" fontId="8" numFmtId="165" xfId="0" applyBorder="1" applyFont="1" applyNumberFormat="1"/>
    <xf borderId="66" fillId="6" fontId="8" numFmtId="165" xfId="0" applyBorder="1" applyFont="1" applyNumberFormat="1"/>
    <xf borderId="68" fillId="6" fontId="20" numFmtId="165" xfId="0" applyAlignment="1" applyBorder="1" applyFont="1" applyNumberFormat="1">
      <alignment horizontal="right"/>
    </xf>
    <xf borderId="64" fillId="6" fontId="20" numFmtId="165" xfId="0" applyBorder="1" applyFont="1" applyNumberFormat="1"/>
    <xf borderId="64" fillId="22" fontId="30" numFmtId="165" xfId="0" applyAlignment="1" applyBorder="1" applyFill="1" applyFont="1" applyNumberFormat="1">
      <alignment readingOrder="0" vertical="bottom"/>
    </xf>
    <xf borderId="65" fillId="22" fontId="30" numFmtId="165" xfId="0" applyAlignment="1" applyBorder="1" applyFont="1" applyNumberFormat="1">
      <alignment vertical="bottom"/>
    </xf>
    <xf borderId="76" fillId="22" fontId="8" numFmtId="165" xfId="0" applyBorder="1" applyFont="1" applyNumberFormat="1"/>
    <xf borderId="77" fillId="22" fontId="8" numFmtId="165" xfId="0" applyBorder="1" applyFont="1" applyNumberFormat="1"/>
    <xf borderId="65" fillId="22" fontId="8" numFmtId="165" xfId="0" applyBorder="1" applyFont="1" applyNumberFormat="1"/>
    <xf borderId="64" fillId="22" fontId="8" numFmtId="165" xfId="0" applyBorder="1" applyFont="1" applyNumberFormat="1"/>
    <xf borderId="69" fillId="22" fontId="8" numFmtId="165" xfId="0" applyBorder="1" applyFont="1" applyNumberFormat="1"/>
    <xf borderId="68" fillId="22" fontId="20" numFmtId="165" xfId="0" applyAlignment="1" applyBorder="1" applyFont="1" applyNumberFormat="1">
      <alignment horizontal="right"/>
    </xf>
    <xf borderId="64" fillId="22" fontId="20" numFmtId="165" xfId="0" applyBorder="1" applyFont="1" applyNumberFormat="1"/>
    <xf borderId="0" fillId="0" fontId="24" numFmtId="0" xfId="0" applyFont="1"/>
    <xf borderId="35" fillId="0" fontId="8" numFmtId="0" xfId="0" applyBorder="1" applyFont="1"/>
    <xf borderId="0" fillId="0" fontId="8" numFmtId="0" xfId="0" applyFont="1"/>
    <xf borderId="36" fillId="9" fontId="8" numFmtId="0" xfId="0" applyBorder="1" applyFont="1"/>
    <xf borderId="37" fillId="0" fontId="8" numFmtId="0" xfId="0" applyBorder="1" applyFont="1"/>
    <xf borderId="38" fillId="0" fontId="8" numFmtId="0" xfId="0" applyBorder="1" applyFont="1"/>
    <xf borderId="39" fillId="0" fontId="8" numFmtId="0" xfId="0" applyBorder="1" applyFont="1"/>
    <xf borderId="0" fillId="0" fontId="20" numFmtId="0" xfId="0" applyFont="1"/>
    <xf borderId="0" fillId="0" fontId="31" numFmtId="165" xfId="0" applyAlignment="1" applyFont="1" applyNumberFormat="1">
      <alignment readingOrder="0"/>
    </xf>
    <xf borderId="0" fillId="0" fontId="19" numFmtId="165" xfId="0" applyFont="1" applyNumberFormat="1"/>
    <xf borderId="35" fillId="0" fontId="19" numFmtId="165" xfId="0" applyBorder="1" applyFont="1" applyNumberFormat="1"/>
    <xf borderId="36" fillId="9" fontId="8" numFmtId="165" xfId="0" applyBorder="1" applyFont="1" applyNumberFormat="1"/>
    <xf borderId="37" fillId="0" fontId="19" numFmtId="165" xfId="0" applyBorder="1" applyFont="1" applyNumberFormat="1"/>
    <xf borderId="38" fillId="0" fontId="19" numFmtId="165" xfId="0" applyBorder="1" applyFont="1" applyNumberFormat="1"/>
    <xf borderId="39" fillId="0" fontId="19" numFmtId="165" xfId="0" applyBorder="1" applyFont="1" applyNumberFormat="1"/>
    <xf borderId="40" fillId="0" fontId="20" numFmtId="165" xfId="0" applyAlignment="1" applyBorder="1" applyFont="1" applyNumberFormat="1">
      <alignment horizontal="right"/>
    </xf>
    <xf borderId="0" fillId="0" fontId="20" numFmtId="165" xfId="0" applyFont="1" applyNumberFormat="1"/>
    <xf borderId="0" fillId="0" fontId="31" numFmtId="166" xfId="0" applyAlignment="1" applyFont="1" applyNumberFormat="1">
      <alignment readingOrder="0"/>
    </xf>
    <xf borderId="0" fillId="0" fontId="24" numFmtId="166" xfId="0" applyFont="1" applyNumberFormat="1"/>
    <xf borderId="35" fillId="0" fontId="24" numFmtId="166" xfId="0" applyBorder="1" applyFont="1" applyNumberFormat="1"/>
    <xf borderId="36" fillId="9" fontId="0" numFmtId="166" xfId="0" applyBorder="1" applyFont="1" applyNumberFormat="1"/>
    <xf borderId="37" fillId="0" fontId="24" numFmtId="166" xfId="0" applyBorder="1" applyFont="1" applyNumberFormat="1"/>
    <xf borderId="38" fillId="0" fontId="24" numFmtId="166" xfId="0" applyBorder="1" applyFont="1" applyNumberFormat="1"/>
    <xf borderId="39" fillId="0" fontId="24" numFmtId="166" xfId="0" applyBorder="1" applyFont="1" applyNumberFormat="1"/>
    <xf borderId="40" fillId="0" fontId="20" numFmtId="166" xfId="0" applyAlignment="1" applyBorder="1" applyFont="1" applyNumberFormat="1">
      <alignment horizontal="right"/>
    </xf>
    <xf borderId="0" fillId="0" fontId="20" numFmtId="166" xfId="0" applyAlignment="1" applyFont="1" applyNumberFormat="1">
      <alignment horizontal="right"/>
    </xf>
    <xf borderId="0" fillId="15" fontId="32" numFmtId="166" xfId="0" applyAlignment="1" applyFont="1" applyNumberFormat="1">
      <alignment readingOrder="0" vertical="bottom"/>
    </xf>
    <xf borderId="0" fillId="15" fontId="24" numFmtId="166" xfId="0" applyFont="1" applyNumberFormat="1"/>
    <xf borderId="35" fillId="15" fontId="24" numFmtId="166" xfId="0" applyBorder="1" applyFont="1" applyNumberFormat="1"/>
    <xf borderId="37" fillId="15" fontId="24" numFmtId="166" xfId="0" applyBorder="1" applyFont="1" applyNumberFormat="1"/>
    <xf borderId="38" fillId="15" fontId="24" numFmtId="166" xfId="0" applyBorder="1" applyFont="1" applyNumberFormat="1"/>
    <xf borderId="39" fillId="15" fontId="24" numFmtId="166" xfId="0" applyBorder="1" applyFont="1" applyNumberFormat="1"/>
    <xf borderId="40" fillId="15" fontId="26" numFmtId="166" xfId="0" applyBorder="1" applyFont="1" applyNumberFormat="1"/>
    <xf borderId="0" fillId="15" fontId="26" numFmtId="166" xfId="0" applyFont="1" applyNumberFormat="1"/>
    <xf borderId="0" fillId="23" fontId="32" numFmtId="166" xfId="0" applyAlignment="1" applyFill="1" applyFont="1" applyNumberFormat="1">
      <alignment readingOrder="0" vertical="bottom"/>
    </xf>
    <xf borderId="0" fillId="23" fontId="24" numFmtId="166" xfId="0" applyFont="1" applyNumberFormat="1"/>
    <xf borderId="35" fillId="23" fontId="24" numFmtId="166" xfId="0" applyBorder="1" applyFont="1" applyNumberFormat="1"/>
    <xf borderId="37" fillId="23" fontId="24" numFmtId="166" xfId="0" applyBorder="1" applyFont="1" applyNumberFormat="1"/>
    <xf borderId="38" fillId="23" fontId="24" numFmtId="166" xfId="0" applyBorder="1" applyFont="1" applyNumberFormat="1"/>
    <xf borderId="39" fillId="23" fontId="24" numFmtId="166" xfId="0" applyBorder="1" applyFont="1" applyNumberFormat="1"/>
    <xf borderId="40" fillId="23" fontId="26" numFmtId="166" xfId="0" applyBorder="1" applyFont="1" applyNumberFormat="1"/>
    <xf borderId="0" fillId="23" fontId="26" numFmtId="166" xfId="0" applyFont="1" applyNumberFormat="1"/>
    <xf borderId="0" fillId="0" fontId="24" numFmtId="165" xfId="0" applyFont="1" applyNumberFormat="1"/>
    <xf borderId="40" fillId="0" fontId="20" numFmtId="165" xfId="0" applyBorder="1" applyFont="1" applyNumberFormat="1"/>
    <xf borderId="35" fillId="0" fontId="24" numFmtId="0" xfId="0" applyBorder="1" applyFont="1"/>
    <xf borderId="40" fillId="0" fontId="26" numFmtId="0" xfId="0" applyBorder="1" applyFont="1"/>
    <xf borderId="0" fillId="0" fontId="26" numFmtId="0" xfId="0" applyFont="1"/>
    <xf borderId="0" fillId="18" fontId="33" numFmtId="165" xfId="0" applyAlignment="1" applyFont="1" applyNumberFormat="1">
      <alignment readingOrder="0" vertical="bottom"/>
    </xf>
    <xf borderId="0" fillId="18" fontId="28" numFmtId="165" xfId="0" applyFont="1" applyNumberFormat="1"/>
    <xf borderId="35" fillId="18" fontId="28" numFmtId="165" xfId="0" applyBorder="1" applyFont="1" applyNumberFormat="1"/>
    <xf borderId="36" fillId="9" fontId="0" numFmtId="165" xfId="0" applyBorder="1" applyFont="1" applyNumberFormat="1"/>
    <xf borderId="37" fillId="18" fontId="28" numFmtId="165" xfId="0" applyBorder="1" applyFont="1" applyNumberFormat="1"/>
    <xf borderId="38" fillId="18" fontId="28" numFmtId="165" xfId="0" applyBorder="1" applyFont="1" applyNumberFormat="1"/>
    <xf borderId="39" fillId="18" fontId="28" numFmtId="165" xfId="0" applyBorder="1" applyFont="1" applyNumberFormat="1"/>
    <xf borderId="40" fillId="18" fontId="29" numFmtId="165" xfId="0" applyBorder="1" applyFont="1" applyNumberFormat="1"/>
    <xf borderId="0" fillId="18" fontId="29" numFmtId="165" xfId="0" applyFont="1" applyNumberFormat="1"/>
    <xf borderId="0" fillId="0" fontId="32" numFmtId="0" xfId="0" applyAlignment="1" applyFont="1">
      <alignment vertical="bottom"/>
    </xf>
    <xf borderId="36" fillId="9" fontId="0" numFmtId="0" xfId="0" applyBorder="1" applyFont="1"/>
    <xf borderId="37" fillId="0" fontId="24" numFmtId="0" xfId="0" applyBorder="1" applyFont="1"/>
    <xf borderId="38" fillId="0" fontId="24" numFmtId="0" xfId="0" applyBorder="1" applyFont="1"/>
    <xf borderId="39" fillId="0" fontId="24" numFmtId="0" xfId="0" applyBorder="1" applyFont="1"/>
    <xf borderId="0" fillId="24" fontId="24" numFmtId="165" xfId="0" applyAlignment="1" applyFill="1" applyFont="1" applyNumberFormat="1">
      <alignment readingOrder="0"/>
    </xf>
    <xf borderId="0" fillId="24" fontId="24" numFmtId="165" xfId="0" applyFont="1" applyNumberFormat="1"/>
    <xf borderId="35" fillId="24" fontId="24" numFmtId="165" xfId="0" applyBorder="1" applyFont="1" applyNumberFormat="1"/>
    <xf borderId="37" fillId="24" fontId="24" numFmtId="165" xfId="0" applyBorder="1" applyFont="1" applyNumberFormat="1"/>
    <xf borderId="38" fillId="24" fontId="24" numFmtId="165" xfId="0" applyBorder="1" applyFont="1" applyNumberFormat="1"/>
    <xf borderId="39" fillId="24" fontId="24" numFmtId="165" xfId="0" applyBorder="1" applyFont="1" applyNumberFormat="1"/>
    <xf borderId="40" fillId="24" fontId="26" numFmtId="165" xfId="0" applyBorder="1" applyFont="1" applyNumberFormat="1"/>
    <xf borderId="0" fillId="24" fontId="26" numFmtId="165" xfId="0" applyFont="1" applyNumberFormat="1"/>
    <xf borderId="0" fillId="24" fontId="24" numFmtId="4" xfId="0" applyAlignment="1" applyFont="1" applyNumberFormat="1">
      <alignment readingOrder="0"/>
    </xf>
    <xf borderId="0" fillId="24" fontId="19" numFmtId="4" xfId="0" applyFont="1" applyNumberFormat="1"/>
    <xf borderId="35" fillId="24" fontId="19" numFmtId="4" xfId="0" applyBorder="1" applyFont="1" applyNumberFormat="1"/>
    <xf borderId="36" fillId="24" fontId="19" numFmtId="4" xfId="0" applyBorder="1" applyFont="1" applyNumberFormat="1"/>
    <xf borderId="37" fillId="24" fontId="19" numFmtId="4" xfId="0" applyBorder="1" applyFont="1" applyNumberFormat="1"/>
    <xf borderId="38" fillId="24" fontId="19" numFmtId="4" xfId="0" applyBorder="1" applyFont="1" applyNumberFormat="1"/>
    <xf borderId="39" fillId="24" fontId="19" numFmtId="4" xfId="0" applyBorder="1" applyFont="1" applyNumberFormat="1"/>
    <xf borderId="40" fillId="24" fontId="20" numFmtId="4" xfId="0" applyBorder="1" applyFont="1" applyNumberFormat="1"/>
    <xf borderId="0" fillId="24" fontId="20" numFmtId="4" xfId="0" applyFont="1" applyNumberFormat="1"/>
    <xf borderId="0" fillId="24" fontId="32" numFmtId="10" xfId="0" applyAlignment="1" applyFont="1" applyNumberFormat="1">
      <alignment readingOrder="0" vertical="bottom"/>
    </xf>
    <xf borderId="0" fillId="24" fontId="24" numFmtId="10" xfId="0" applyFont="1" applyNumberFormat="1"/>
    <xf borderId="35" fillId="24" fontId="24" numFmtId="10" xfId="0" applyBorder="1" applyFont="1" applyNumberFormat="1"/>
    <xf borderId="0" fillId="24" fontId="24" numFmtId="10" xfId="0" applyAlignment="1" applyFont="1" applyNumberFormat="1">
      <alignment readingOrder="0"/>
    </xf>
    <xf borderId="36" fillId="24" fontId="24" numFmtId="10" xfId="0" applyAlignment="1" applyBorder="1" applyFont="1" applyNumberFormat="1">
      <alignment readingOrder="0"/>
    </xf>
    <xf borderId="37" fillId="24" fontId="24" numFmtId="10" xfId="0" applyAlignment="1" applyBorder="1" applyFont="1" applyNumberFormat="1">
      <alignment readingOrder="0"/>
    </xf>
    <xf borderId="38" fillId="24" fontId="24" numFmtId="10" xfId="0" applyAlignment="1" applyBorder="1" applyFont="1" applyNumberFormat="1">
      <alignment readingOrder="0"/>
    </xf>
    <xf borderId="39" fillId="24" fontId="24" numFmtId="10" xfId="0" applyAlignment="1" applyBorder="1" applyFont="1" applyNumberFormat="1">
      <alignment readingOrder="0"/>
    </xf>
    <xf borderId="40" fillId="24" fontId="26" numFmtId="10" xfId="0" applyBorder="1" applyFont="1" applyNumberFormat="1"/>
    <xf borderId="0" fillId="24" fontId="26" numFmtId="10" xfId="0" applyFont="1" applyNumberFormat="1"/>
    <xf borderId="0" fillId="0" fontId="34" numFmtId="165" xfId="0" applyAlignment="1" applyFont="1" applyNumberFormat="1">
      <alignment vertical="bottom"/>
    </xf>
    <xf borderId="0" fillId="3" fontId="24" numFmtId="165" xfId="0" applyFont="1" applyNumberFormat="1"/>
    <xf borderId="35" fillId="3" fontId="24" numFmtId="165" xfId="0" applyBorder="1" applyFont="1" applyNumberFormat="1"/>
    <xf borderId="36" fillId="3" fontId="24" numFmtId="165" xfId="0" applyBorder="1" applyFont="1" applyNumberFormat="1"/>
    <xf borderId="40" fillId="3" fontId="26" numFmtId="165" xfId="0" applyBorder="1" applyFont="1" applyNumberFormat="1"/>
    <xf borderId="0" fillId="3" fontId="26" numFmtId="165" xfId="0" applyFont="1" applyNumberFormat="1"/>
    <xf borderId="0" fillId="6" fontId="4" numFmtId="165" xfId="0" applyAlignment="1" applyFont="1" applyNumberFormat="1">
      <alignment readingOrder="0" vertical="bottom"/>
    </xf>
    <xf borderId="0" fillId="6" fontId="24" numFmtId="165" xfId="0" applyFont="1" applyNumberFormat="1"/>
    <xf borderId="36" fillId="6" fontId="24" numFmtId="165" xfId="0" applyBorder="1" applyFont="1" applyNumberFormat="1"/>
    <xf borderId="40" fillId="6" fontId="26" numFmtId="165" xfId="0" applyBorder="1" applyFont="1" applyNumberFormat="1"/>
    <xf borderId="0" fillId="6" fontId="26" numFmtId="165" xfId="0" applyFont="1" applyNumberFormat="1"/>
    <xf borderId="0" fillId="6" fontId="5" numFmtId="0" xfId="0" applyFont="1"/>
    <xf borderId="0" fillId="6" fontId="24" numFmtId="4" xfId="0" applyAlignment="1" applyFont="1" applyNumberFormat="1">
      <alignment readingOrder="0"/>
    </xf>
    <xf borderId="36" fillId="6" fontId="24" numFmtId="4" xfId="0" applyAlignment="1" applyBorder="1" applyFont="1" applyNumberFormat="1">
      <alignment readingOrder="0"/>
    </xf>
    <xf borderId="40" fillId="6" fontId="26" numFmtId="4" xfId="0" applyBorder="1" applyFont="1" applyNumberFormat="1"/>
    <xf borderId="0" fillId="6" fontId="26" numFmtId="4" xfId="0" applyFont="1" applyNumberFormat="1"/>
    <xf borderId="0" fillId="6" fontId="34" numFmtId="4" xfId="0" applyAlignment="1" applyFont="1" applyNumberFormat="1">
      <alignment readingOrder="0" vertical="bottom"/>
    </xf>
    <xf borderId="0" fillId="6" fontId="24" numFmtId="10" xfId="0" applyFont="1" applyNumberFormat="1"/>
    <xf borderId="35" fillId="6" fontId="24" numFmtId="10" xfId="0" applyBorder="1" applyFont="1" applyNumberFormat="1"/>
    <xf borderId="0" fillId="6" fontId="19" numFmtId="4" xfId="0" applyFont="1" applyNumberFormat="1"/>
    <xf borderId="36" fillId="6" fontId="19" numFmtId="4" xfId="0" applyBorder="1" applyFont="1" applyNumberFormat="1"/>
    <xf borderId="40" fillId="6" fontId="26" numFmtId="10" xfId="0" applyBorder="1" applyFont="1" applyNumberFormat="1"/>
    <xf borderId="0" fillId="6" fontId="26" numFmtId="10" xfId="0" applyFont="1" applyNumberFormat="1"/>
    <xf borderId="0" fillId="6" fontId="32" numFmtId="0" xfId="0" applyAlignment="1" applyFont="1">
      <alignment readingOrder="0" vertical="bottom"/>
    </xf>
    <xf borderId="0" fillId="6" fontId="24" numFmtId="10" xfId="0" applyAlignment="1" applyFont="1" applyNumberFormat="1">
      <alignment readingOrder="0"/>
    </xf>
    <xf borderId="36" fillId="6" fontId="24" numFmtId="10" xfId="0" applyAlignment="1" applyBorder="1" applyFont="1" applyNumberFormat="1">
      <alignment readingOrder="0"/>
    </xf>
    <xf borderId="37" fillId="6" fontId="24" numFmtId="10" xfId="0" applyAlignment="1" applyBorder="1" applyFont="1" applyNumberFormat="1">
      <alignment readingOrder="0"/>
    </xf>
    <xf borderId="38" fillId="6" fontId="24" numFmtId="10" xfId="0" applyAlignment="1" applyBorder="1" applyFont="1" applyNumberFormat="1">
      <alignment readingOrder="0"/>
    </xf>
    <xf borderId="39" fillId="6" fontId="24" numFmtId="10" xfId="0" applyAlignment="1" applyBorder="1" applyFont="1" applyNumberFormat="1">
      <alignment readingOrder="0"/>
    </xf>
    <xf borderId="0" fillId="0" fontId="32" numFmtId="165" xfId="0" applyAlignment="1" applyFont="1" applyNumberFormat="1">
      <alignment vertical="bottom"/>
    </xf>
    <xf borderId="35" fillId="0" fontId="24" numFmtId="165" xfId="0" applyBorder="1" applyFont="1" applyNumberFormat="1"/>
    <xf borderId="37" fillId="0" fontId="24" numFmtId="165" xfId="0" applyBorder="1" applyFont="1" applyNumberFormat="1"/>
    <xf borderId="38" fillId="0" fontId="24" numFmtId="165" xfId="0" applyBorder="1" applyFont="1" applyNumberFormat="1"/>
    <xf borderId="39" fillId="0" fontId="24" numFmtId="165" xfId="0" applyBorder="1" applyFont="1" applyNumberFormat="1"/>
    <xf borderId="40" fillId="0" fontId="26" numFmtId="165" xfId="0" applyBorder="1" applyFont="1" applyNumberFormat="1"/>
    <xf borderId="0" fillId="0" fontId="26" numFmtId="165" xfId="0" applyFont="1" applyNumberFormat="1"/>
    <xf borderId="0" fillId="0" fontId="32" numFmtId="0" xfId="0" applyAlignment="1" applyFont="1">
      <alignment readingOrder="0" vertical="bottom"/>
    </xf>
    <xf borderId="35" fillId="0" fontId="19" numFmtId="10" xfId="0" applyBorder="1" applyFont="1" applyNumberFormat="1"/>
    <xf borderId="0" fillId="0" fontId="19" numFmtId="10" xfId="0" applyFont="1" applyNumberFormat="1"/>
    <xf borderId="36" fillId="9" fontId="8" numFmtId="10" xfId="0" applyBorder="1" applyFont="1" applyNumberFormat="1"/>
    <xf borderId="37" fillId="0" fontId="19" numFmtId="10" xfId="0" applyBorder="1" applyFont="1" applyNumberFormat="1"/>
    <xf borderId="38" fillId="0" fontId="19" numFmtId="10" xfId="0" applyBorder="1" applyFont="1" applyNumberFormat="1"/>
    <xf borderId="39" fillId="0" fontId="19" numFmtId="10" xfId="0" applyBorder="1" applyFont="1" applyNumberFormat="1"/>
    <xf borderId="40" fillId="0" fontId="19" numFmtId="10" xfId="0" applyBorder="1" applyFont="1" applyNumberFormat="1"/>
    <xf borderId="0" fillId="0" fontId="32" numFmtId="166" xfId="0" applyAlignment="1" applyFont="1" applyNumberFormat="1">
      <alignment readingOrder="0" vertical="bottom"/>
    </xf>
    <xf borderId="35" fillId="0" fontId="19" numFmtId="166" xfId="0" applyBorder="1" applyFont="1" applyNumberFormat="1"/>
    <xf borderId="0" fillId="0" fontId="19" numFmtId="166" xfId="0" applyFont="1" applyNumberFormat="1"/>
    <xf borderId="36" fillId="9" fontId="8" numFmtId="166" xfId="0" applyBorder="1" applyFont="1" applyNumberFormat="1"/>
    <xf borderId="37" fillId="0" fontId="19" numFmtId="166" xfId="0" applyBorder="1" applyFont="1" applyNumberFormat="1"/>
    <xf borderId="38" fillId="0" fontId="19" numFmtId="166" xfId="0" applyBorder="1" applyFont="1" applyNumberFormat="1"/>
    <xf borderId="39" fillId="0" fontId="19" numFmtId="166" xfId="0" applyBorder="1" applyFont="1" applyNumberFormat="1"/>
    <xf borderId="40" fillId="0" fontId="19" numFmtId="166" xfId="0" applyBorder="1" applyFont="1" applyNumberFormat="1"/>
    <xf borderId="0" fillId="0" fontId="32" numFmtId="166" xfId="0" applyAlignment="1" applyFont="1" applyNumberFormat="1">
      <alignment vertical="bottom"/>
    </xf>
    <xf borderId="40" fillId="0" fontId="20" numFmtId="166" xfId="0" applyBorder="1" applyFont="1" applyNumberFormat="1"/>
    <xf borderId="0" fillId="0" fontId="20" numFmtId="166" xfId="0" applyFont="1" applyNumberFormat="1"/>
    <xf borderId="0" fillId="0" fontId="32" numFmtId="167" xfId="0" applyAlignment="1" applyFont="1" applyNumberFormat="1">
      <alignment readingOrder="0" vertical="bottom"/>
    </xf>
    <xf borderId="0" fillId="0" fontId="24" numFmtId="167" xfId="0" applyFont="1" applyNumberFormat="1"/>
    <xf borderId="35" fillId="0" fontId="19" numFmtId="167" xfId="0" applyBorder="1" applyFont="1" applyNumberFormat="1"/>
    <xf borderId="0" fillId="0" fontId="19" numFmtId="167" xfId="0" applyFont="1" applyNumberFormat="1"/>
    <xf borderId="36" fillId="9" fontId="8" numFmtId="167" xfId="0" applyBorder="1" applyFont="1" applyNumberFormat="1"/>
    <xf borderId="37" fillId="0" fontId="19" numFmtId="167" xfId="0" applyBorder="1" applyFont="1" applyNumberFormat="1"/>
    <xf borderId="38" fillId="0" fontId="19" numFmtId="167" xfId="0" applyBorder="1" applyFont="1" applyNumberFormat="1"/>
    <xf borderId="39" fillId="0" fontId="19" numFmtId="167" xfId="0" applyBorder="1" applyFont="1" applyNumberFormat="1"/>
    <xf borderId="40" fillId="0" fontId="20" numFmtId="167" xfId="0" applyBorder="1" applyFont="1" applyNumberFormat="1"/>
    <xf borderId="0" fillId="0" fontId="20" numFmtId="167" xfId="0" applyFont="1" applyNumberFormat="1"/>
    <xf borderId="40" fillId="0" fontId="20" numFmtId="0" xfId="0" applyBorder="1" applyFont="1"/>
    <xf borderId="0" fillId="0" fontId="32" numFmtId="167" xfId="0" applyAlignment="1" applyFont="1" applyNumberFormat="1">
      <alignment vertical="bottom"/>
    </xf>
    <xf borderId="78" fillId="0" fontId="19" numFmtId="0" xfId="0" applyBorder="1" applyFont="1"/>
    <xf borderId="79" fillId="0" fontId="19" numFmtId="0" xfId="0" applyBorder="1" applyFont="1"/>
    <xf borderId="80" fillId="9" fontId="8" numFmtId="0" xfId="0" applyBorder="1" applyFont="1"/>
    <xf borderId="81" fillId="0" fontId="19" numFmtId="0" xfId="0" applyBorder="1" applyFont="1"/>
    <xf borderId="82" fillId="0" fontId="19" numFmtId="0" xfId="0" applyBorder="1" applyFont="1"/>
    <xf borderId="83" fillId="0" fontId="19" numFmtId="0" xfId="0" applyBorder="1" applyFont="1"/>
    <xf borderId="36" fillId="0" fontId="8" numFmtId="0" xfId="0" applyBorder="1" applyFont="1"/>
    <xf borderId="51" fillId="0" fontId="19" numFmtId="0" xfId="0" applyBorder="1" applyFont="1"/>
    <xf borderId="48" fillId="0" fontId="19" numFmtId="0" xfId="0" applyAlignment="1" applyBorder="1" applyFont="1">
      <alignment readingOrder="0"/>
    </xf>
    <xf borderId="48" fillId="0" fontId="19" numFmtId="0" xfId="0" applyBorder="1" applyFont="1"/>
    <xf borderId="49" fillId="0" fontId="19" numFmtId="0" xfId="0" applyBorder="1" applyFont="1"/>
    <xf borderId="84" fillId="0" fontId="8" numFmtId="0" xfId="0" applyBorder="1" applyFont="1"/>
    <xf borderId="51" fillId="0" fontId="20" numFmtId="0" xfId="0" applyAlignment="1" applyBorder="1" applyFont="1">
      <alignment horizontal="right"/>
    </xf>
    <xf borderId="48" fillId="0" fontId="20" numFmtId="0" xfId="0" applyAlignment="1" applyBorder="1" applyFont="1">
      <alignment horizontal="right"/>
    </xf>
    <xf borderId="5" fillId="3" fontId="35" numFmtId="0" xfId="0" applyBorder="1" applyFont="1"/>
    <xf borderId="5" fillId="3" fontId="36" numFmtId="0" xfId="0" applyAlignment="1" applyBorder="1" applyFont="1">
      <alignment readingOrder="0"/>
    </xf>
    <xf borderId="5" fillId="3" fontId="37" numFmtId="0" xfId="0" applyAlignment="1" applyBorder="1" applyFont="1">
      <alignment readingOrder="0"/>
    </xf>
    <xf borderId="5" fillId="3" fontId="3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5" numFmtId="10" xfId="0" applyAlignment="1" applyFont="1" applyNumberFormat="1">
      <alignment readingOrder="0"/>
    </xf>
    <xf borderId="0" fillId="2" fontId="38" numFmtId="0" xfId="0" applyFont="1"/>
    <xf borderId="0" fillId="2" fontId="39" numFmtId="0" xfId="0" applyAlignment="1" applyFont="1">
      <alignment horizontal="right" readingOrder="0"/>
    </xf>
    <xf borderId="48" fillId="7" fontId="40" numFmtId="165" xfId="0" applyAlignment="1" applyBorder="1" applyFont="1" applyNumberFormat="1">
      <alignment readingOrder="0"/>
    </xf>
    <xf borderId="48" fillId="6" fontId="41" numFmtId="165" xfId="0" applyAlignment="1" applyBorder="1" applyFont="1" applyNumberFormat="1">
      <alignment horizontal="right" readingOrder="0"/>
    </xf>
    <xf borderId="48" fillId="6" fontId="35" numFmtId="165" xfId="0" applyAlignment="1" applyBorder="1" applyFont="1" applyNumberFormat="1">
      <alignment readingOrder="0"/>
    </xf>
    <xf borderId="0" fillId="19" fontId="40" numFmtId="165" xfId="0" applyAlignment="1" applyFont="1" applyNumberFormat="1">
      <alignment vertical="bottom"/>
    </xf>
    <xf borderId="48" fillId="6" fontId="35" numFmtId="165" xfId="0" applyBorder="1" applyFont="1" applyNumberFormat="1"/>
    <xf borderId="0" fillId="4" fontId="40" numFmtId="165" xfId="0" applyAlignment="1" applyFont="1" applyNumberFormat="1">
      <alignment readingOrder="0" vertical="bottom"/>
    </xf>
    <xf borderId="0" fillId="4" fontId="40" numFmtId="165" xfId="0" applyAlignment="1" applyFont="1" applyNumberFormat="1">
      <alignment vertical="bottom"/>
    </xf>
    <xf borderId="0" fillId="0" fontId="35" numFmtId="165" xfId="0" applyAlignment="1" applyFont="1" applyNumberFormat="1">
      <alignment readingOrder="0"/>
    </xf>
    <xf borderId="0" fillId="0" fontId="35" numFmtId="165" xfId="0" applyFont="1" applyNumberFormat="1"/>
    <xf borderId="48" fillId="25" fontId="40" numFmtId="165" xfId="0" applyAlignment="1" applyBorder="1" applyFill="1" applyFont="1" applyNumberFormat="1">
      <alignment readingOrder="0"/>
    </xf>
    <xf borderId="48" fillId="6" fontId="40" numFmtId="165" xfId="0" applyBorder="1" applyFont="1" applyNumberFormat="1"/>
    <xf borderId="48" fillId="7" fontId="14" numFmtId="165" xfId="0" applyAlignment="1" applyBorder="1" applyFont="1" applyNumberFormat="1">
      <alignment readingOrder="0"/>
    </xf>
    <xf borderId="0" fillId="6" fontId="35" numFmtId="165" xfId="0" applyFont="1" applyNumberFormat="1"/>
    <xf borderId="0" fillId="0" fontId="35" numFmtId="165" xfId="0" applyAlignment="1" applyFont="1" applyNumberFormat="1">
      <alignment vertical="bottom"/>
    </xf>
    <xf borderId="0" fillId="0" fontId="35" numFmtId="165" xfId="0" applyAlignment="1" applyFont="1" applyNumberFormat="1">
      <alignment readingOrder="0" vertical="bottom"/>
    </xf>
    <xf borderId="48" fillId="7" fontId="35" numFmtId="165" xfId="0" applyAlignment="1" applyBorder="1" applyFont="1" applyNumberFormat="1">
      <alignment readingOrder="0" vertical="bottom"/>
    </xf>
    <xf borderId="48" fillId="7" fontId="35" numFmtId="165" xfId="0" applyAlignment="1" applyBorder="1" applyFont="1" applyNumberFormat="1">
      <alignment readingOrder="0"/>
    </xf>
    <xf borderId="48" fillId="16" fontId="39" numFmtId="165" xfId="0" applyAlignment="1" applyBorder="1" applyFont="1" applyNumberFormat="1">
      <alignment readingOrder="0"/>
    </xf>
    <xf borderId="48" fillId="16" fontId="39" numFmtId="165" xfId="0" applyBorder="1" applyFont="1" applyNumberFormat="1"/>
    <xf borderId="85" fillId="0" fontId="35" numFmtId="165" xfId="0" applyBorder="1" applyFont="1" applyNumberFormat="1"/>
    <xf borderId="85" fillId="6" fontId="35" numFmtId="165" xfId="0" applyBorder="1" applyFont="1" applyNumberFormat="1"/>
    <xf borderId="48" fillId="6" fontId="35" numFmtId="166" xfId="0" applyBorder="1" applyFont="1" applyNumberFormat="1"/>
    <xf borderId="48" fillId="12" fontId="39" numFmtId="165" xfId="0" applyAlignment="1" applyBorder="1" applyFont="1" applyNumberFormat="1">
      <alignment readingOrder="0"/>
    </xf>
    <xf borderId="48" fillId="12" fontId="39" numFmtId="166" xfId="0" applyBorder="1" applyFont="1" applyNumberFormat="1"/>
    <xf borderId="48" fillId="12" fontId="39" numFmtId="165" xfId="0" applyBorder="1" applyFont="1" applyNumberFormat="1"/>
    <xf borderId="48" fillId="7" fontId="42" numFmtId="0" xfId="0" applyAlignment="1" applyBorder="1" applyFont="1">
      <alignment readingOrder="0"/>
    </xf>
    <xf borderId="48" fillId="6" fontId="42" numFmtId="10" xfId="0" applyBorder="1" applyFont="1" applyNumberFormat="1"/>
    <xf borderId="0" fillId="0" fontId="42" numFmtId="0" xfId="0" applyAlignment="1" applyFont="1">
      <alignment readingOrder="0"/>
    </xf>
    <xf borderId="0" fillId="0" fontId="42" numFmtId="10" xfId="0" applyFont="1" applyNumberFormat="1"/>
    <xf borderId="48" fillId="6" fontId="42" numFmtId="166" xfId="0" applyBorder="1" applyFont="1" applyNumberFormat="1"/>
    <xf borderId="48" fillId="6" fontId="42" numFmtId="166" xfId="0" applyBorder="1" applyFont="1" applyNumberFormat="1"/>
    <xf borderId="48" fillId="6" fontId="42" numFmtId="165" xfId="0" applyBorder="1" applyFont="1" applyNumberFormat="1"/>
    <xf borderId="48" fillId="0" fontId="42" numFmtId="0" xfId="0" applyAlignment="1" applyBorder="1" applyFont="1">
      <alignment readingOrder="0"/>
    </xf>
    <xf borderId="48" fillId="6" fontId="43" numFmtId="10" xfId="0" applyBorder="1" applyFont="1" applyNumberFormat="1"/>
    <xf borderId="0" fillId="0" fontId="42" numFmtId="165" xfId="0" applyAlignment="1" applyFont="1" applyNumberFormat="1">
      <alignment readingOrder="0"/>
    </xf>
    <xf borderId="0" fillId="0" fontId="42" numFmtId="165" xfId="0" applyFont="1" applyNumberFormat="1"/>
    <xf borderId="0" fillId="26" fontId="39" numFmtId="165" xfId="0" applyFill="1" applyFont="1" applyNumberFormat="1"/>
    <xf borderId="0" fillId="0" fontId="44" numFmtId="165" xfId="0" applyAlignment="1" applyFont="1" applyNumberFormat="1">
      <alignment readingOrder="0" vertical="bottom"/>
    </xf>
    <xf borderId="0" fillId="0" fontId="44" numFmtId="0" xfId="0" applyAlignment="1" applyFont="1">
      <alignment vertical="bottom"/>
    </xf>
    <xf borderId="0" fillId="0" fontId="44" numFmtId="0" xfId="0" applyAlignment="1" applyFont="1">
      <alignment readingOrder="0" vertical="bottom"/>
    </xf>
    <xf borderId="0" fillId="3" fontId="19" numFmtId="0" xfId="0" applyAlignment="1" applyFont="1">
      <alignment horizontal="center" readingOrder="0"/>
    </xf>
    <xf borderId="0" fillId="27" fontId="19" numFmtId="0" xfId="0" applyAlignment="1" applyFill="1" applyFont="1">
      <alignment horizontal="center" readingOrder="0"/>
    </xf>
    <xf borderId="48" fillId="2" fontId="38" numFmtId="0" xfId="0" applyAlignment="1" applyBorder="1" applyFont="1">
      <alignment readingOrder="0"/>
    </xf>
    <xf borderId="49" fillId="4" fontId="8" numFmtId="9" xfId="0" applyAlignment="1" applyBorder="1" applyFont="1" applyNumberFormat="1">
      <alignment horizontal="right" readingOrder="0"/>
    </xf>
    <xf borderId="86" fillId="3" fontId="45" numFmtId="0" xfId="0" applyBorder="1" applyFont="1"/>
    <xf borderId="86" fillId="0" fontId="45" numFmtId="166" xfId="0" applyBorder="1" applyFont="1" applyNumberFormat="1"/>
    <xf borderId="86" fillId="0" fontId="45" numFmtId="0" xfId="0" applyBorder="1" applyFont="1"/>
    <xf borderId="86" fillId="27" fontId="38" numFmtId="0" xfId="0" applyAlignment="1" applyBorder="1" applyFont="1">
      <alignment readingOrder="0"/>
    </xf>
    <xf borderId="0" fillId="27" fontId="38" numFmtId="0" xfId="0" applyAlignment="1" applyFont="1">
      <alignment readingOrder="0"/>
    </xf>
    <xf borderId="0" fillId="17" fontId="46" numFmtId="165" xfId="0" applyAlignment="1" applyFont="1" applyNumberFormat="1">
      <alignment horizontal="center" readingOrder="0"/>
    </xf>
    <xf borderId="72" fillId="18" fontId="46" numFmtId="165" xfId="0" applyAlignment="1" applyBorder="1" applyFont="1" applyNumberFormat="1">
      <alignment horizontal="center" readingOrder="0"/>
    </xf>
    <xf borderId="73" fillId="0" fontId="2" numFmtId="0" xfId="0" applyBorder="1" applyFont="1"/>
    <xf borderId="74" fillId="0" fontId="2" numFmtId="0" xfId="0" applyBorder="1" applyFont="1"/>
    <xf borderId="0" fillId="27" fontId="5" numFmtId="0" xfId="0" applyFont="1"/>
    <xf borderId="0" fillId="0" fontId="5" numFmtId="165" xfId="0" applyAlignment="1" applyFont="1" applyNumberFormat="1">
      <alignment readingOrder="0"/>
    </xf>
    <xf borderId="0" fillId="0" fontId="5" numFmtId="168" xfId="0" applyFont="1" applyNumberFormat="1"/>
    <xf borderId="0" fillId="0" fontId="5" numFmtId="166" xfId="0" applyAlignment="1" applyFont="1" applyNumberFormat="1">
      <alignment readingOrder="0"/>
    </xf>
    <xf borderId="0" fillId="27" fontId="5" numFmtId="166" xfId="0" applyAlignment="1" applyFont="1" applyNumberFormat="1">
      <alignment readingOrder="0"/>
    </xf>
    <xf borderId="0" fillId="0" fontId="5" numFmtId="165" xfId="0" applyFont="1" applyNumberFormat="1"/>
    <xf borderId="0" fillId="0" fontId="5" numFmtId="166" xfId="0" applyFont="1" applyNumberFormat="1"/>
    <xf borderId="0" fillId="3" fontId="30" numFmtId="165" xfId="0" applyAlignment="1" applyFont="1" applyNumberFormat="1">
      <alignment readingOrder="0" vertical="bottom"/>
    </xf>
    <xf borderId="0" fillId="0" fontId="35" numFmtId="168" xfId="0" applyAlignment="1" applyFont="1" applyNumberFormat="1">
      <alignment vertical="bottom"/>
    </xf>
    <xf borderId="0" fillId="3" fontId="47" numFmtId="0" xfId="0" applyAlignment="1" applyFont="1">
      <alignment horizontal="right" vertical="bottom"/>
    </xf>
    <xf borderId="0" fillId="27" fontId="35" numFmtId="0" xfId="0" applyAlignment="1" applyFont="1">
      <alignment vertical="bottom"/>
    </xf>
    <xf borderId="0" fillId="0" fontId="30" numFmtId="165" xfId="0" applyAlignment="1" applyFont="1" applyNumberFormat="1">
      <alignment readingOrder="0" vertical="bottom"/>
    </xf>
    <xf borderId="0" fillId="0" fontId="35" numFmtId="10" xfId="0" applyAlignment="1" applyFont="1" applyNumberFormat="1">
      <alignment readingOrder="0" vertical="bottom"/>
    </xf>
    <xf borderId="0" fillId="27" fontId="35" numFmtId="165" xfId="0" applyAlignment="1" applyFont="1" applyNumberFormat="1">
      <alignment vertical="bottom"/>
    </xf>
    <xf borderId="0" fillId="5" fontId="30" numFmtId="165" xfId="0" applyAlignment="1" applyFont="1" applyNumberFormat="1">
      <alignment vertical="bottom"/>
    </xf>
    <xf borderId="0" fillId="14" fontId="30" numFmtId="165" xfId="0" applyAlignment="1" applyFont="1" applyNumberFormat="1">
      <alignment vertical="bottom"/>
    </xf>
    <xf borderId="0" fillId="27" fontId="5" numFmtId="10" xfId="0" applyAlignment="1" applyFont="1" applyNumberFormat="1">
      <alignment readingOrder="0"/>
    </xf>
    <xf borderId="48" fillId="6" fontId="4" numFmtId="165" xfId="0" applyAlignment="1" applyBorder="1" applyFont="1" applyNumberFormat="1">
      <alignment readingOrder="0" vertical="bottom"/>
    </xf>
    <xf borderId="0" fillId="22" fontId="30" numFmtId="165" xfId="0" applyAlignment="1" applyFont="1" applyNumberFormat="1">
      <alignment readingOrder="0" vertical="bottom"/>
    </xf>
    <xf borderId="0" fillId="0" fontId="35" numFmtId="0" xfId="0" applyAlignment="1" applyFont="1">
      <alignment readingOrder="0" vertical="bottom"/>
    </xf>
    <xf borderId="0" fillId="3" fontId="35" numFmtId="0" xfId="0" applyAlignment="1" applyFont="1">
      <alignment vertical="bottom"/>
    </xf>
    <xf borderId="0" fillId="0" fontId="35" numFmtId="166" xfId="0" applyAlignment="1" applyFont="1" applyNumberFormat="1">
      <alignment vertical="bottom"/>
    </xf>
    <xf borderId="0" fillId="0" fontId="35" numFmtId="1" xfId="0" applyAlignment="1" applyFont="1" applyNumberFormat="1">
      <alignment readingOrder="0" vertical="bottom"/>
    </xf>
    <xf borderId="0" fillId="2" fontId="48" numFmtId="0" xfId="0" applyAlignment="1" applyFont="1">
      <alignment readingOrder="0" vertical="bottom"/>
    </xf>
    <xf borderId="0" fillId="2" fontId="38" numFmtId="168" xfId="0" applyAlignment="1" applyFont="1" applyNumberFormat="1">
      <alignment horizontal="right" readingOrder="0" vertical="bottom"/>
    </xf>
    <xf borderId="0" fillId="2" fontId="38" numFmtId="0" xfId="0" applyAlignment="1" applyFont="1">
      <alignment horizontal="right" vertical="bottom"/>
    </xf>
    <xf borderId="0" fillId="0" fontId="35" numFmtId="166" xfId="0" applyAlignment="1" applyFont="1" applyNumberFormat="1">
      <alignment readingOrder="0" vertical="bottom"/>
    </xf>
    <xf borderId="0" fillId="0" fontId="35" numFmtId="0" xfId="0" applyAlignment="1" applyFont="1">
      <alignment vertical="bottom"/>
    </xf>
    <xf borderId="0" fillId="27" fontId="48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1" xfId="0" applyAlignment="1" applyFont="1" applyNumberFormat="1">
      <alignment readingOrder="0" vertical="bottom"/>
    </xf>
    <xf borderId="0" fillId="5" fontId="4" numFmtId="168" xfId="0" applyAlignment="1" applyFont="1" applyNumberFormat="1">
      <alignment horizontal="right" readingOrder="0" vertical="bottom"/>
    </xf>
    <xf borderId="0" fillId="5" fontId="4" numFmtId="0" xfId="0" applyAlignment="1" applyFont="1">
      <alignment horizontal="right" readingOrder="0" vertical="bottom"/>
    </xf>
    <xf borderId="0" fillId="0" fontId="35" numFmtId="4" xfId="0" applyAlignment="1" applyFont="1" applyNumberFormat="1">
      <alignment readingOrder="0" vertical="bottom"/>
    </xf>
    <xf borderId="0" fillId="3" fontId="46" numFmtId="165" xfId="0" applyAlignment="1" applyFont="1" applyNumberFormat="1">
      <alignment horizontal="center" readingOrder="0"/>
    </xf>
    <xf borderId="0" fillId="5" fontId="4" numFmtId="169" xfId="0" applyAlignment="1" applyFont="1" applyNumberFormat="1">
      <alignment horizontal="right" readingOrder="0" vertical="bottom"/>
    </xf>
    <xf borderId="0" fillId="3" fontId="5" numFmtId="165" xfId="0" applyAlignment="1" applyFont="1" applyNumberFormat="1">
      <alignment readingOrder="0"/>
    </xf>
    <xf borderId="0" fillId="3" fontId="5" numFmtId="168" xfId="0" applyAlignment="1" applyFont="1" applyNumberFormat="1">
      <alignment readingOrder="0"/>
    </xf>
    <xf borderId="0" fillId="5" fontId="4" numFmtId="3" xfId="0" applyAlignment="1" applyFont="1" applyNumberFormat="1">
      <alignment horizontal="right" readingOrder="0" vertical="bottom"/>
    </xf>
    <xf borderId="0" fillId="0" fontId="35" numFmtId="9" xfId="0" applyAlignment="1" applyFont="1" applyNumberFormat="1">
      <alignment vertical="bottom"/>
    </xf>
    <xf borderId="0" fillId="3" fontId="5" numFmtId="168" xfId="0" applyFont="1" applyNumberFormat="1"/>
    <xf borderId="0" fillId="0" fontId="36" numFmtId="166" xfId="0" applyAlignment="1" applyFont="1" applyNumberFormat="1">
      <alignment horizontal="right" vertical="bottom"/>
    </xf>
    <xf borderId="0" fillId="0" fontId="36" numFmtId="0" xfId="0" applyAlignment="1" applyFont="1">
      <alignment horizontal="right" vertical="bottom"/>
    </xf>
    <xf borderId="0" fillId="0" fontId="35" numFmtId="164" xfId="0" applyAlignment="1" applyFont="1" applyNumberFormat="1">
      <alignment vertical="bottom"/>
    </xf>
    <xf borderId="0" fillId="3" fontId="35" numFmtId="165" xfId="0" applyAlignment="1" applyFont="1" applyNumberFormat="1">
      <alignment readingOrder="0" vertical="bottom"/>
    </xf>
    <xf borderId="0" fillId="3" fontId="35" numFmtId="168" xfId="0" applyAlignment="1" applyFont="1" applyNumberFormat="1">
      <alignment vertical="bottom"/>
    </xf>
    <xf borderId="0" fillId="0" fontId="4" numFmtId="168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3" fontId="35" numFmtId="10" xfId="0" applyAlignment="1" applyFont="1" applyNumberFormat="1">
      <alignment readingOrder="0" vertical="bottom"/>
    </xf>
    <xf borderId="0" fillId="0" fontId="35" numFmtId="0" xfId="0" applyAlignment="1" applyFont="1">
      <alignment readingOrder="0"/>
    </xf>
    <xf borderId="0" fillId="0" fontId="4" numFmtId="168" xfId="0" applyAlignment="1" applyFont="1" applyNumberFormat="1">
      <alignment readingOrder="0" vertical="bottom"/>
    </xf>
    <xf borderId="48" fillId="2" fontId="39" numFmtId="0" xfId="0" applyAlignment="1" applyBorder="1" applyFont="1">
      <alignment horizontal="left" readingOrder="0"/>
    </xf>
    <xf borderId="48" fillId="2" fontId="49" numFmtId="165" xfId="0" applyAlignment="1" applyBorder="1" applyFont="1" applyNumberFormat="1">
      <alignment horizontal="right" readingOrder="0"/>
    </xf>
    <xf borderId="48" fillId="2" fontId="49" numFmtId="166" xfId="0" applyAlignment="1" applyBorder="1" applyFont="1" applyNumberFormat="1">
      <alignment horizontal="right" readingOrder="0"/>
    </xf>
    <xf borderId="0" fillId="0" fontId="49" numFmtId="0" xfId="0" applyAlignment="1" applyFont="1">
      <alignment horizontal="right" readingOrder="0"/>
    </xf>
    <xf borderId="0" fillId="0" fontId="34" numFmtId="0" xfId="0" applyAlignment="1" applyFont="1">
      <alignment vertical="bottom"/>
    </xf>
    <xf borderId="0" fillId="0" fontId="34" numFmtId="0" xfId="0" applyAlignment="1" applyFont="1">
      <alignment readingOrder="0" vertical="bottom"/>
    </xf>
    <xf borderId="48" fillId="5" fontId="50" numFmtId="165" xfId="0" applyAlignment="1" applyBorder="1" applyFont="1" applyNumberFormat="1">
      <alignment readingOrder="0"/>
    </xf>
    <xf borderId="48" fillId="5" fontId="41" numFmtId="166" xfId="0" applyBorder="1" applyFont="1" applyNumberFormat="1"/>
    <xf borderId="0" fillId="0" fontId="41" numFmtId="0" xfId="0" applyFont="1"/>
    <xf borderId="48" fillId="5" fontId="50" numFmtId="166" xfId="0" applyAlignment="1" applyBorder="1" applyFont="1" applyNumberFormat="1">
      <alignment readingOrder="0"/>
    </xf>
    <xf borderId="0" fillId="0" fontId="50" numFmtId="0" xfId="0" applyAlignment="1" applyFont="1">
      <alignment readingOrder="0"/>
    </xf>
    <xf borderId="48" fillId="7" fontId="35" numFmtId="0" xfId="0" applyAlignment="1" applyBorder="1" applyFont="1">
      <alignment readingOrder="0" vertical="bottom"/>
    </xf>
    <xf borderId="0" fillId="0" fontId="50" numFmtId="9" xfId="0" applyAlignment="1" applyFont="1" applyNumberFormat="1">
      <alignment readingOrder="0"/>
    </xf>
    <xf borderId="0" fillId="27" fontId="34" numFmtId="0" xfId="0" applyAlignment="1" applyFont="1">
      <alignment readingOrder="0" vertical="bottom"/>
    </xf>
    <xf borderId="48" fillId="3" fontId="50" numFmtId="165" xfId="0" applyAlignment="1" applyBorder="1" applyFont="1" applyNumberFormat="1">
      <alignment readingOrder="0"/>
    </xf>
    <xf borderId="48" fillId="3" fontId="50" numFmtId="165" xfId="0" applyBorder="1" applyFont="1" applyNumberFormat="1"/>
    <xf borderId="48" fillId="3" fontId="50" numFmtId="166" xfId="0" applyAlignment="1" applyBorder="1" applyFont="1" applyNumberFormat="1">
      <alignment readingOrder="0"/>
    </xf>
    <xf borderId="0" fillId="3" fontId="50" numFmtId="9" xfId="0" applyAlignment="1" applyFont="1" applyNumberFormat="1">
      <alignment readingOrder="0"/>
    </xf>
    <xf borderId="0" fillId="27" fontId="34" numFmtId="0" xfId="0" applyAlignment="1" applyFont="1">
      <alignment vertical="bottom"/>
    </xf>
    <xf borderId="48" fillId="18" fontId="39" numFmtId="0" xfId="0" applyAlignment="1" applyBorder="1" applyFont="1">
      <alignment readingOrder="0"/>
    </xf>
    <xf borderId="48" fillId="18" fontId="49" numFmtId="165" xfId="0" applyAlignment="1" applyBorder="1" applyFont="1" applyNumberFormat="1">
      <alignment readingOrder="0"/>
    </xf>
    <xf borderId="48" fillId="18" fontId="49" numFmtId="165" xfId="0" applyBorder="1" applyFont="1" applyNumberFormat="1"/>
    <xf borderId="0" fillId="27" fontId="41" numFmtId="0" xfId="0" applyAlignment="1" applyFont="1">
      <alignment readingOrder="0"/>
    </xf>
    <xf borderId="48" fillId="7" fontId="41" numFmtId="0" xfId="0" applyAlignment="1" applyBorder="1" applyFont="1">
      <alignment readingOrder="0"/>
    </xf>
    <xf borderId="48" fillId="3" fontId="50" numFmtId="168" xfId="0" applyAlignment="1" applyBorder="1" applyFont="1" applyNumberFormat="1">
      <alignment readingOrder="0"/>
    </xf>
    <xf borderId="48" fillId="3" fontId="50" numFmtId="10" xfId="0" applyBorder="1" applyFont="1" applyNumberFormat="1"/>
    <xf borderId="48" fillId="3" fontId="50" numFmtId="4" xfId="0" applyBorder="1" applyFont="1" applyNumberFormat="1"/>
    <xf borderId="48" fillId="3" fontId="50" numFmtId="3" xfId="0" applyBorder="1" applyFont="1" applyNumberFormat="1"/>
    <xf borderId="0" fillId="7" fontId="41" numFmtId="0" xfId="0" applyAlignment="1" applyFont="1">
      <alignment readingOrder="0"/>
    </xf>
    <xf borderId="48" fillId="3" fontId="50" numFmtId="166" xfId="0" applyAlignment="1" applyBorder="1" applyFont="1" applyNumberFormat="1">
      <alignment horizontal="right" readingOrder="0"/>
    </xf>
    <xf borderId="0" fillId="3" fontId="50" numFmtId="0" xfId="0" applyAlignment="1" applyFont="1">
      <alignment horizontal="right" readingOrder="0"/>
    </xf>
    <xf borderId="48" fillId="3" fontId="50" numFmtId="168" xfId="0" applyBorder="1" applyFont="1" applyNumberFormat="1"/>
    <xf borderId="48" fillId="3" fontId="50" numFmtId="4" xfId="0" applyAlignment="1" applyBorder="1" applyFont="1" applyNumberFormat="1">
      <alignment readingOrder="0"/>
    </xf>
    <xf borderId="0" fillId="3" fontId="50" numFmtId="10" xfId="0" applyAlignment="1" applyFont="1" applyNumberFormat="1">
      <alignment readingOrder="0"/>
    </xf>
    <xf borderId="48" fillId="0" fontId="41" numFmtId="0" xfId="0" applyAlignment="1" applyBorder="1" applyFont="1">
      <alignment readingOrder="0"/>
    </xf>
    <xf borderId="48" fillId="3" fontId="50" numFmtId="166" xfId="0" applyBorder="1" applyFont="1" applyNumberFormat="1"/>
    <xf borderId="0" fillId="3" fontId="50" numFmtId="0" xfId="0" applyFont="1"/>
    <xf borderId="0" fillId="0" fontId="41" numFmtId="0" xfId="0" applyAlignment="1" applyFont="1">
      <alignment readingOrder="0"/>
    </xf>
    <xf borderId="0" fillId="0" fontId="50" numFmtId="168" xfId="0" applyAlignment="1" applyFont="1" applyNumberFormat="1">
      <alignment readingOrder="0"/>
    </xf>
    <xf borderId="0" fillId="0" fontId="50" numFmtId="4" xfId="0" applyAlignment="1" applyFont="1" applyNumberFormat="1">
      <alignment readingOrder="0"/>
    </xf>
    <xf borderId="0" fillId="0" fontId="50" numFmtId="166" xfId="0" applyFont="1" applyNumberFormat="1"/>
    <xf borderId="0" fillId="0" fontId="50" numFmtId="0" xfId="0" applyFont="1"/>
    <xf borderId="0" fillId="0" fontId="5" numFmtId="0" xfId="0" applyFont="1"/>
    <xf borderId="0" fillId="0" fontId="5" numFmtId="3" xfId="0" applyFont="1" applyNumberFormat="1"/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167" xfId="0" applyFont="1" applyNumberFormat="1"/>
    <xf borderId="0" fillId="0" fontId="5" numFmtId="1" xfId="0" applyFont="1" applyNumberFormat="1"/>
    <xf borderId="0" fillId="0" fontId="5" numFmtId="165" xfId="0" applyAlignment="1" applyFont="1" applyNumberFormat="1">
      <alignment horizontal="center" readingOrder="0"/>
    </xf>
    <xf borderId="0" fillId="0" fontId="5" numFmtId="0" xfId="0" applyAlignment="1" applyFont="1">
      <alignment horizontal="right" readingOrder="0"/>
    </xf>
    <xf borderId="0" fillId="0" fontId="51" numFmtId="0" xfId="0" applyAlignment="1" applyFont="1">
      <alignment readingOrder="0"/>
    </xf>
    <xf borderId="0" fillId="0" fontId="5" numFmtId="0" xfId="0" applyAlignment="1" applyFont="1">
      <alignment horizontal="right"/>
    </xf>
    <xf borderId="0" fillId="0" fontId="5" numFmtId="4" xfId="0" applyAlignment="1" applyFont="1" applyNumberFormat="1">
      <alignment horizontal="right" readingOrder="0"/>
    </xf>
    <xf borderId="0" fillId="0" fontId="5" numFmtId="165" xfId="0" applyAlignment="1" applyFont="1" applyNumberFormat="1">
      <alignment horizontal="right" readingOrder="0"/>
    </xf>
    <xf borderId="0" fillId="0" fontId="5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000000"/>
                </a:solidFill>
                <a:latin typeface="Roboto"/>
              </a:defRPr>
            </a:pPr>
            <a:r>
              <a:rPr b="0" sz="1800">
                <a:solidFill>
                  <a:srgbClr val="000000"/>
                </a:solidFill>
                <a:latin typeface="Roboto"/>
              </a:rPr>
              <a:t>Expenses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'Income Statement'!$B$16</c:f>
            </c:strRef>
          </c:tx>
          <c:dPt>
            <c:idx val="0"/>
            <c:spPr>
              <a:solidFill>
                <a:srgbClr val="B6C3DD"/>
              </a:solidFill>
            </c:spPr>
          </c:dPt>
          <c:dPt>
            <c:idx val="1"/>
            <c:spPr>
              <a:solidFill>
                <a:srgbClr val="00FF00"/>
              </a:solidFill>
            </c:spPr>
          </c:dPt>
          <c:dPt>
            <c:idx val="2"/>
            <c:spPr>
              <a:solidFill>
                <a:srgbClr val="0000FF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5B78BD"/>
              </a:solidFill>
            </c:spPr>
          </c:dPt>
          <c:dPt>
            <c:idx val="6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'Income Statement'!$B$17:$B$23</c:f>
            </c:strRef>
          </c:cat>
          <c:val>
            <c:numRef>
              <c:f>'Income Statement'!$B$17:$B$23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0"/>
      </c:doughnutChart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000000"/>
                </a:solidFill>
                <a:latin typeface="Roboto"/>
              </a:defRPr>
            </a:pPr>
            <a:r>
              <a:rPr b="0" sz="1800">
                <a:solidFill>
                  <a:srgbClr val="000000"/>
                </a:solidFill>
                <a:latin typeface="Roboto"/>
              </a:rPr>
              <a:t>Profitability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'Income Statement'!$A$37</c:f>
            </c:strRef>
          </c:tx>
          <c:spPr>
            <a:ln cmpd="sng" w="28575">
              <a:solidFill>
                <a:srgbClr val="3D548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'Income Statement'!$B$5:$D$5</c:f>
            </c:strRef>
          </c:cat>
          <c:val>
            <c:numRef>
              <c:f>'Income Statement'!$B$37:$D$37</c:f>
              <c:numCache/>
            </c:numRef>
          </c:val>
          <c:smooth val="1"/>
        </c:ser>
        <c:axId val="949833501"/>
        <c:axId val="1171904104"/>
      </c:lineChart>
      <c:catAx>
        <c:axId val="9498335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</a:p>
        </c:txPr>
        <c:crossAx val="1171904104"/>
      </c:catAx>
      <c:valAx>
        <c:axId val="11719041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layout>
            <c:manualLayout>
              <c:xMode val="edge"/>
              <c:yMode val="edge"/>
              <c:x val="0.01444256756756757"/>
              <c:y val="0.1944444444444444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</a:p>
        </c:txPr>
        <c:crossAx val="9498335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000000"/>
                </a:solidFill>
                <a:latin typeface="Roboto"/>
              </a:defRPr>
            </a:pPr>
            <a:r>
              <a:rPr b="0" sz="1800">
                <a:solidFill>
                  <a:srgbClr val="000000"/>
                </a:solidFill>
                <a:latin typeface="Roboto"/>
              </a:rPr>
              <a:t>Projected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Charts!$E$3</c:f>
            </c:strRef>
          </c:tx>
          <c:spPr>
            <a:solidFill>
              <a:srgbClr val="3D5487"/>
            </a:solidFill>
            <a:ln cmpd="sng">
              <a:solidFill>
                <a:srgbClr val="000000"/>
              </a:solidFill>
            </a:ln>
          </c:spPr>
          <c:cat>
            <c:strRef>
              <c:f>Charts!$D$4:$D$9</c:f>
            </c:strRef>
          </c:cat>
          <c:val>
            <c:numRef>
              <c:f>Charts!$E$4:$E$9</c:f>
              <c:numCache/>
            </c:numRef>
          </c:val>
        </c:ser>
        <c:ser>
          <c:idx val="1"/>
          <c:order val="1"/>
          <c:tx>
            <c:strRef>
              <c:f>Charts!$F$3</c:f>
            </c:strRef>
          </c:tx>
          <c:spPr>
            <a:solidFill>
              <a:srgbClr val="B6C3DD"/>
            </a:solidFill>
            <a:ln cmpd="sng">
              <a:solidFill>
                <a:srgbClr val="000000"/>
              </a:solidFill>
            </a:ln>
          </c:spPr>
          <c:cat>
            <c:strRef>
              <c:f>Charts!$D$4:$D$9</c:f>
            </c:strRef>
          </c:cat>
          <c:val>
            <c:numRef>
              <c:f>Charts!$F$4:$F$9</c:f>
              <c:numCache/>
            </c:numRef>
          </c:val>
        </c:ser>
        <c:axId val="376714434"/>
        <c:axId val="546986773"/>
      </c:barChart>
      <c:catAx>
        <c:axId val="3767144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+mn-lt"/>
              </a:defRPr>
            </a:pPr>
          </a:p>
        </c:txPr>
        <c:crossAx val="546986773"/>
      </c:catAx>
      <c:valAx>
        <c:axId val="546986773"/>
        <c:scaling>
          <c:orientation val="minMax"/>
          <c:max val="8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666666"/>
                    </a:solidFill>
                    <a:latin typeface="Roboto"/>
                  </a:defRPr>
                </a:pPr>
                <a:r>
                  <a:rPr b="0">
                    <a:solidFill>
                      <a:srgbClr val="666666"/>
                    </a:solidFill>
                    <a:latin typeface="Roboto"/>
                  </a:rPr>
                  <a:t>Billions ₹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Arial"/>
              </a:defRPr>
            </a:pPr>
          </a:p>
        </c:txPr>
        <c:crossAx val="376714434"/>
      </c:valAx>
    </c:plotArea>
    <c:legend>
      <c:legendPos val="b"/>
      <c:legendEntry>
        <c:idx val="1"/>
        <c:txPr>
          <a:bodyPr/>
          <a:lstStyle/>
          <a:p>
            <a:pPr lvl="0">
              <a:defRPr i="0"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666666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000000"/>
                </a:solidFill>
                <a:latin typeface="Roboto"/>
              </a:defRPr>
            </a:pPr>
            <a:r>
              <a:rPr b="0" sz="1800">
                <a:solidFill>
                  <a:srgbClr val="000000"/>
                </a:solidFill>
                <a:latin typeface="Roboto"/>
              </a:rPr>
              <a:t>Revenue, Gross Profit and Net Profit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Charts!$E$24</c:f>
            </c:strRef>
          </c:tx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Charts!$D$25:$D$28</c:f>
            </c:strRef>
          </c:cat>
          <c:val>
            <c:numRef>
              <c:f>Charts!$E$25:$E$28</c:f>
              <c:numCache/>
            </c:numRef>
          </c:val>
        </c:ser>
        <c:ser>
          <c:idx val="1"/>
          <c:order val="1"/>
          <c:tx>
            <c:strRef>
              <c:f>Charts!$F$24</c:f>
            </c:strRef>
          </c:tx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0B5394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Charts!$D$25:$D$28</c:f>
            </c:strRef>
          </c:cat>
          <c:val>
            <c:numRef>
              <c:f>Charts!$F$25:$F$28</c:f>
              <c:numCache/>
            </c:numRef>
          </c:val>
        </c:ser>
        <c:ser>
          <c:idx val="2"/>
          <c:order val="2"/>
          <c:tx>
            <c:strRef>
              <c:f>Charts!$G$24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Charts!$D$25:$D$28</c:f>
            </c:strRef>
          </c:cat>
          <c:val>
            <c:numRef>
              <c:f>Charts!$G$25:$G$28</c:f>
              <c:numCache/>
            </c:numRef>
          </c:val>
        </c:ser>
        <c:axId val="769152639"/>
        <c:axId val="254273906"/>
      </c:barChart>
      <c:catAx>
        <c:axId val="76915263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</a:p>
        </c:txPr>
        <c:crossAx val="254273906"/>
      </c:catAx>
      <c:valAx>
        <c:axId val="2542739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[$£]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</a:p>
        </c:txPr>
        <c:crossAx val="76915263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666666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A86E8"/>
                </a:solidFill>
                <a:latin typeface="Arial"/>
              </a:defRPr>
            </a:pPr>
            <a:r>
              <a:rPr b="0">
                <a:solidFill>
                  <a:srgbClr val="4A86E8"/>
                </a:solidFill>
                <a:latin typeface="Arial"/>
              </a:rPr>
              <a:t>Projected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Charts!$E$3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Charts!$D$4:$D$9</c:f>
            </c:strRef>
          </c:cat>
          <c:val>
            <c:numRef>
              <c:f>Charts!$E$4:$E$9</c:f>
              <c:numCache/>
            </c:numRef>
          </c:val>
        </c:ser>
        <c:ser>
          <c:idx val="1"/>
          <c:order val="1"/>
          <c:tx>
            <c:strRef>
              <c:f>Charts!$F$3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Charts!$D$4:$D$9</c:f>
            </c:strRef>
          </c:cat>
          <c:val>
            <c:numRef>
              <c:f>Charts!$F$4:$F$9</c:f>
              <c:numCache/>
            </c:numRef>
          </c:val>
        </c:ser>
        <c:axId val="1081721162"/>
        <c:axId val="1458161494"/>
      </c:barChart>
      <c:catAx>
        <c:axId val="10817211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8161494"/>
      </c:catAx>
      <c:valAx>
        <c:axId val="1458161494"/>
        <c:scaling>
          <c:orientation val="minMax"/>
          <c:max val="8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Millions  ₹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081721162"/>
      </c:valAx>
    </c:plotArea>
    <c:legend>
      <c:legendPos val="r"/>
      <c:legendEntry>
        <c:idx val="1"/>
        <c:txPr>
          <a:bodyPr/>
          <a:lstStyle/>
          <a:p>
            <a:pPr lvl="0">
              <a:defRPr i="0"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0124D"/>
                </a:solidFill>
                <a:latin typeface="Arial"/>
              </a:defRPr>
            </a:pPr>
            <a:r>
              <a:rPr b="0">
                <a:solidFill>
                  <a:srgbClr val="20124D"/>
                </a:solidFill>
                <a:latin typeface="Arial"/>
              </a:rPr>
              <a:t>Revenue, Gross Profit and Net Profit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Charts!$E$24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Charts!$D$25:$D$28</c:f>
            </c:strRef>
          </c:cat>
          <c:val>
            <c:numRef>
              <c:f>Charts!$E$25:$E$28</c:f>
              <c:numCache/>
            </c:numRef>
          </c:val>
        </c:ser>
        <c:ser>
          <c:idx val="1"/>
          <c:order val="1"/>
          <c:tx>
            <c:strRef>
              <c:f>Charts!$F$24</c:f>
            </c:strRef>
          </c:tx>
          <c:spPr>
            <a:solidFill>
              <a:srgbClr val="0B539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B5394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B5394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0B5394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0B5394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Charts!$D$25:$D$28</c:f>
            </c:strRef>
          </c:cat>
          <c:val>
            <c:numRef>
              <c:f>Charts!$F$25:$F$28</c:f>
              <c:numCache/>
            </c:numRef>
          </c:val>
        </c:ser>
        <c:ser>
          <c:idx val="2"/>
          <c:order val="2"/>
          <c:tx>
            <c:strRef>
              <c:f>Charts!$G$24</c:f>
            </c:strRef>
          </c:tx>
          <c:spPr>
            <a:solidFill>
              <a:srgbClr val="45818E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45818E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Charts!$D$25:$D$28</c:f>
            </c:strRef>
          </c:cat>
          <c:val>
            <c:numRef>
              <c:f>Charts!$G$25:$G$28</c:f>
              <c:numCache/>
            </c:numRef>
          </c:val>
        </c:ser>
        <c:axId val="1902271719"/>
        <c:axId val="906585026"/>
      </c:barChart>
      <c:catAx>
        <c:axId val="190227171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6585026"/>
      </c:catAx>
      <c:valAx>
        <c:axId val="9065850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227171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295275</xdr:colOff>
      <xdr:row>9</xdr:row>
      <xdr:rowOff>0</xdr:rowOff>
    </xdr:from>
    <xdr:ext cx="4543425" cy="27336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180975</xdr:colOff>
      <xdr:row>26</xdr:row>
      <xdr:rowOff>9525</xdr:rowOff>
    </xdr:from>
    <xdr:ext cx="4543425" cy="27336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180975</xdr:colOff>
      <xdr:row>9</xdr:row>
      <xdr:rowOff>0</xdr:rowOff>
    </xdr:from>
    <xdr:ext cx="4543425" cy="27336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295275</xdr:colOff>
      <xdr:row>26</xdr:row>
      <xdr:rowOff>9525</xdr:rowOff>
    </xdr:from>
    <xdr:ext cx="4543425" cy="27336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1</xdr:row>
      <xdr:rowOff>142875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142875</xdr:colOff>
      <xdr:row>21</xdr:row>
      <xdr:rowOff>0</xdr:rowOff>
    </xdr:from>
    <xdr:ext cx="5162550" cy="32004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C4587"/>
      </a:accent1>
      <a:accent2>
        <a:srgbClr val="A4C2F4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25"/>
    <col customWidth="1" min="2" max="2" width="15.63"/>
    <col customWidth="1" min="3" max="3" width="11.75"/>
    <col customWidth="1" min="4" max="4" width="21.0"/>
    <col customWidth="1" min="5" max="5" width="17.75"/>
    <col customWidth="1" min="6" max="6" width="4.13"/>
    <col customWidth="1" min="7" max="11" width="11.75"/>
    <col customWidth="1" min="12" max="12" width="10.38"/>
    <col customWidth="1" min="13" max="13" width="10.63"/>
    <col customWidth="1" min="14" max="14" width="8.88"/>
    <col customWidth="1" min="15" max="15" width="4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>
      <c r="A3" s="5"/>
      <c r="B3" s="6"/>
      <c r="C3" s="6"/>
      <c r="D3" s="6"/>
      <c r="E3" s="6"/>
      <c r="F3" s="5"/>
      <c r="G3" s="6"/>
      <c r="H3" s="6"/>
      <c r="I3" s="6"/>
      <c r="J3" s="6"/>
      <c r="K3" s="6"/>
      <c r="L3" s="6"/>
      <c r="M3" s="5"/>
      <c r="N3" s="5"/>
      <c r="O3" s="5"/>
    </row>
    <row r="4">
      <c r="A4" s="7"/>
      <c r="B4" s="8" t="s">
        <v>2</v>
      </c>
      <c r="C4" s="9"/>
      <c r="D4" s="10"/>
      <c r="E4" s="10"/>
      <c r="F4" s="11"/>
      <c r="G4" s="10"/>
      <c r="H4" s="10"/>
      <c r="I4" s="10"/>
      <c r="J4" s="10"/>
      <c r="K4" s="10"/>
      <c r="L4" s="10"/>
      <c r="M4" s="11"/>
      <c r="N4" s="11"/>
      <c r="O4" s="11"/>
    </row>
    <row r="5">
      <c r="A5" s="12"/>
      <c r="B5" s="13" t="s">
        <v>3</v>
      </c>
      <c r="C5" s="14"/>
      <c r="D5" s="15"/>
      <c r="E5" s="15"/>
      <c r="F5" s="16"/>
      <c r="G5" s="17"/>
      <c r="H5" s="17"/>
      <c r="I5" s="17"/>
      <c r="J5" s="17"/>
      <c r="K5" s="17"/>
      <c r="L5" s="17"/>
      <c r="M5" s="18"/>
      <c r="N5" s="18"/>
      <c r="O5" s="18"/>
    </row>
    <row r="6">
      <c r="A6" s="12"/>
      <c r="B6" s="13" t="s">
        <v>4</v>
      </c>
      <c r="C6" s="19"/>
      <c r="D6" s="20" t="s">
        <v>5</v>
      </c>
      <c r="E6" s="21"/>
      <c r="F6" s="22"/>
      <c r="G6" s="21"/>
      <c r="H6" s="21"/>
      <c r="I6" s="21"/>
      <c r="J6" s="21"/>
      <c r="K6" s="21"/>
      <c r="L6" s="21"/>
      <c r="M6" s="22"/>
      <c r="N6" s="22"/>
      <c r="O6" s="22"/>
    </row>
    <row r="7">
      <c r="A7" s="12"/>
      <c r="B7" s="13" t="s">
        <v>6</v>
      </c>
      <c r="C7" s="23"/>
      <c r="D7" s="24" t="s">
        <v>7</v>
      </c>
      <c r="E7" s="21"/>
      <c r="F7" s="22"/>
      <c r="G7" s="21"/>
      <c r="H7" s="21"/>
      <c r="I7" s="21"/>
      <c r="J7" s="21"/>
      <c r="K7" s="21"/>
      <c r="L7" s="21"/>
      <c r="M7" s="22"/>
      <c r="N7" s="22"/>
      <c r="O7" s="22"/>
    </row>
    <row r="8">
      <c r="A8" s="22"/>
      <c r="B8" s="25"/>
      <c r="C8" s="25"/>
      <c r="D8" s="25"/>
      <c r="E8" s="25"/>
      <c r="F8" s="22"/>
      <c r="G8" s="25"/>
      <c r="H8" s="25"/>
      <c r="I8" s="25"/>
      <c r="J8" s="25"/>
      <c r="K8" s="25"/>
      <c r="L8" s="25"/>
      <c r="M8" s="26"/>
      <c r="N8" s="26"/>
      <c r="O8" s="22"/>
    </row>
    <row r="9">
      <c r="A9" s="27"/>
      <c r="B9" s="28"/>
      <c r="C9" s="29"/>
      <c r="D9" s="29"/>
      <c r="E9" s="30"/>
      <c r="F9" s="31"/>
      <c r="G9" s="32"/>
      <c r="H9" s="29"/>
      <c r="I9" s="29"/>
      <c r="J9" s="29"/>
      <c r="K9" s="29"/>
      <c r="L9" s="30"/>
      <c r="M9" s="33"/>
      <c r="N9" s="33"/>
      <c r="O9" s="31"/>
    </row>
    <row r="10">
      <c r="A10" s="34"/>
      <c r="B10" s="35"/>
      <c r="C10" s="29"/>
      <c r="D10" s="29"/>
      <c r="E10" s="30"/>
      <c r="F10" s="31"/>
      <c r="G10" s="32"/>
      <c r="H10" s="29"/>
      <c r="I10" s="29"/>
      <c r="J10" s="29"/>
      <c r="K10" s="29"/>
      <c r="L10" s="30"/>
      <c r="M10" s="33"/>
      <c r="N10" s="33"/>
      <c r="O10" s="31"/>
    </row>
    <row r="11">
      <c r="A11" s="34"/>
      <c r="B11" s="35"/>
      <c r="C11" s="29"/>
      <c r="D11" s="29"/>
      <c r="E11" s="30"/>
      <c r="F11" s="31"/>
      <c r="G11" s="32"/>
      <c r="H11" s="29"/>
      <c r="I11" s="29"/>
      <c r="J11" s="29"/>
      <c r="K11" s="29"/>
      <c r="L11" s="30"/>
      <c r="M11" s="33"/>
      <c r="N11" s="33"/>
      <c r="O11" s="31"/>
    </row>
    <row r="12">
      <c r="A12" s="34"/>
      <c r="B12" s="35"/>
      <c r="C12" s="36"/>
      <c r="D12" s="29"/>
      <c r="E12" s="30"/>
      <c r="F12" s="31"/>
      <c r="G12" s="32"/>
      <c r="H12" s="29"/>
      <c r="I12" s="29"/>
      <c r="J12" s="29"/>
      <c r="K12" s="29"/>
      <c r="L12" s="30"/>
      <c r="M12" s="33"/>
      <c r="N12" s="33"/>
      <c r="O12" s="31"/>
    </row>
    <row r="13">
      <c r="A13" s="34"/>
      <c r="B13" s="35"/>
      <c r="C13" s="29"/>
      <c r="D13" s="29"/>
      <c r="E13" s="30"/>
      <c r="F13" s="31"/>
      <c r="G13" s="32"/>
      <c r="H13" s="29"/>
      <c r="I13" s="29"/>
      <c r="J13" s="29"/>
      <c r="K13" s="29"/>
      <c r="L13" s="30"/>
      <c r="M13" s="33"/>
      <c r="N13" s="33"/>
      <c r="O13" s="31"/>
    </row>
    <row r="14">
      <c r="A14" s="34"/>
      <c r="B14" s="35"/>
      <c r="C14" s="36"/>
      <c r="D14" s="29"/>
      <c r="E14" s="30"/>
      <c r="F14" s="31"/>
      <c r="G14" s="32"/>
      <c r="H14" s="29"/>
      <c r="I14" s="29"/>
      <c r="J14" s="29"/>
      <c r="K14" s="29"/>
      <c r="L14" s="30"/>
      <c r="M14" s="33"/>
      <c r="N14" s="33"/>
      <c r="O14" s="31"/>
    </row>
    <row r="15">
      <c r="A15" s="37"/>
      <c r="B15" s="38"/>
      <c r="C15" s="39"/>
      <c r="D15" s="39"/>
      <c r="E15" s="40"/>
      <c r="F15" s="41"/>
      <c r="G15" s="42"/>
      <c r="H15" s="39"/>
      <c r="I15" s="39"/>
      <c r="J15" s="39"/>
      <c r="K15" s="39"/>
      <c r="L15" s="40"/>
      <c r="M15" s="43"/>
      <c r="N15" s="43"/>
      <c r="O15" s="41"/>
    </row>
    <row r="16">
      <c r="A16" s="31"/>
      <c r="B16" s="32"/>
      <c r="C16" s="29"/>
      <c r="D16" s="29"/>
      <c r="E16" s="30"/>
      <c r="F16" s="31"/>
      <c r="G16" s="44"/>
      <c r="H16" s="45"/>
      <c r="I16" s="45"/>
      <c r="J16" s="45"/>
      <c r="K16" s="45"/>
      <c r="L16" s="46"/>
      <c r="M16" s="47"/>
      <c r="N16" s="47"/>
      <c r="O16" s="48"/>
    </row>
    <row r="17">
      <c r="A17" s="34"/>
      <c r="B17" s="35"/>
      <c r="C17" s="29"/>
      <c r="D17" s="29"/>
      <c r="E17" s="30"/>
      <c r="F17" s="31"/>
      <c r="G17" s="32"/>
      <c r="H17" s="29"/>
      <c r="I17" s="29"/>
      <c r="J17" s="29"/>
      <c r="K17" s="29"/>
      <c r="L17" s="30"/>
      <c r="M17" s="33"/>
      <c r="N17" s="33"/>
      <c r="O17" s="31"/>
    </row>
    <row r="18">
      <c r="A18" s="34"/>
      <c r="B18" s="35"/>
      <c r="C18" s="29"/>
      <c r="D18" s="29"/>
      <c r="E18" s="30"/>
      <c r="F18" s="31"/>
      <c r="G18" s="32"/>
      <c r="H18" s="29"/>
      <c r="I18" s="29"/>
      <c r="J18" s="29"/>
      <c r="K18" s="29"/>
      <c r="L18" s="30"/>
      <c r="M18" s="33"/>
      <c r="N18" s="33"/>
      <c r="O18" s="31"/>
    </row>
    <row r="19">
      <c r="A19" s="37"/>
      <c r="B19" s="38"/>
      <c r="C19" s="29"/>
      <c r="D19" s="29"/>
      <c r="E19" s="30"/>
      <c r="F19" s="31"/>
      <c r="G19" s="32"/>
      <c r="H19" s="29"/>
      <c r="I19" s="29"/>
      <c r="J19" s="29"/>
      <c r="K19" s="29"/>
      <c r="L19" s="30"/>
      <c r="M19" s="33"/>
      <c r="N19" s="33"/>
      <c r="O19" s="31"/>
    </row>
    <row r="20">
      <c r="A20" s="31"/>
      <c r="B20" s="32"/>
      <c r="C20" s="29"/>
      <c r="D20" s="29"/>
      <c r="E20" s="30"/>
      <c r="F20" s="31"/>
      <c r="G20" s="32"/>
      <c r="H20" s="29"/>
      <c r="I20" s="29"/>
      <c r="J20" s="29"/>
      <c r="K20" s="29"/>
      <c r="L20" s="30"/>
      <c r="M20" s="33"/>
      <c r="N20" s="33"/>
      <c r="O20" s="31"/>
    </row>
    <row r="21">
      <c r="A21" s="31"/>
      <c r="B21" s="32"/>
      <c r="C21" s="29"/>
      <c r="D21" s="29"/>
      <c r="E21" s="30"/>
      <c r="F21" s="31"/>
      <c r="G21" s="32"/>
      <c r="H21" s="29"/>
      <c r="I21" s="29"/>
      <c r="J21" s="29"/>
      <c r="K21" s="29"/>
      <c r="L21" s="30"/>
      <c r="M21" s="33"/>
      <c r="N21" s="33"/>
      <c r="O21" s="31"/>
    </row>
    <row r="22">
      <c r="A22" s="31"/>
      <c r="B22" s="32"/>
      <c r="C22" s="29"/>
      <c r="D22" s="29"/>
      <c r="E22" s="30"/>
      <c r="F22" s="31"/>
      <c r="G22" s="32"/>
      <c r="H22" s="29"/>
      <c r="I22" s="29"/>
      <c r="J22" s="29"/>
      <c r="K22" s="29"/>
      <c r="L22" s="30"/>
      <c r="M22" s="33"/>
      <c r="N22" s="33"/>
      <c r="O22" s="31"/>
    </row>
    <row r="23">
      <c r="A23" s="31"/>
      <c r="B23" s="32"/>
      <c r="C23" s="29"/>
      <c r="D23" s="29"/>
      <c r="E23" s="30"/>
      <c r="F23" s="31"/>
      <c r="G23" s="32"/>
      <c r="H23" s="29"/>
      <c r="I23" s="29"/>
      <c r="J23" s="29"/>
      <c r="K23" s="29"/>
      <c r="L23" s="30"/>
      <c r="M23" s="33"/>
      <c r="N23" s="33"/>
      <c r="O23" s="31"/>
    </row>
    <row r="24">
      <c r="A24" s="31"/>
      <c r="B24" s="49"/>
      <c r="C24" s="50"/>
      <c r="D24" s="50"/>
      <c r="E24" s="51"/>
      <c r="F24" s="31"/>
      <c r="G24" s="49"/>
      <c r="H24" s="50"/>
      <c r="I24" s="50"/>
      <c r="J24" s="50"/>
      <c r="K24" s="50"/>
      <c r="L24" s="51"/>
      <c r="M24" s="33"/>
      <c r="N24" s="33"/>
      <c r="O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</row>
    <row r="26">
      <c r="A26" s="31"/>
      <c r="B26" s="52"/>
      <c r="C26" s="53"/>
      <c r="D26" s="53"/>
      <c r="E26" s="54"/>
      <c r="F26" s="31"/>
      <c r="G26" s="52"/>
      <c r="H26" s="53"/>
      <c r="I26" s="53"/>
      <c r="J26" s="53"/>
      <c r="K26" s="53"/>
      <c r="L26" s="54"/>
      <c r="M26" s="55"/>
      <c r="N26" s="55"/>
      <c r="O26" s="31"/>
    </row>
    <row r="27">
      <c r="A27" s="31"/>
      <c r="B27" s="32"/>
      <c r="C27" s="29"/>
      <c r="D27" s="29"/>
      <c r="E27" s="30"/>
      <c r="F27" s="31"/>
      <c r="G27" s="32"/>
      <c r="H27" s="29"/>
      <c r="I27" s="29"/>
      <c r="J27" s="29"/>
      <c r="K27" s="29"/>
      <c r="L27" s="30"/>
      <c r="M27" s="55"/>
      <c r="N27" s="55"/>
      <c r="O27" s="31"/>
    </row>
    <row r="28">
      <c r="A28" s="31"/>
      <c r="B28" s="32"/>
      <c r="C28" s="29"/>
      <c r="D28" s="29"/>
      <c r="E28" s="30"/>
      <c r="F28" s="31"/>
      <c r="G28" s="32"/>
      <c r="H28" s="29"/>
      <c r="I28" s="29"/>
      <c r="J28" s="29"/>
      <c r="K28" s="29"/>
      <c r="L28" s="30"/>
      <c r="M28" s="55"/>
      <c r="N28" s="55"/>
      <c r="O28" s="31"/>
    </row>
    <row r="29">
      <c r="A29" s="31"/>
      <c r="B29" s="32"/>
      <c r="C29" s="29"/>
      <c r="D29" s="29"/>
      <c r="E29" s="30"/>
      <c r="F29" s="31"/>
      <c r="G29" s="32"/>
      <c r="H29" s="29"/>
      <c r="I29" s="29"/>
      <c r="J29" s="29"/>
      <c r="K29" s="29"/>
      <c r="L29" s="30"/>
      <c r="M29" s="55"/>
      <c r="N29" s="55"/>
      <c r="O29" s="31"/>
    </row>
    <row r="30">
      <c r="A30" s="31"/>
      <c r="B30" s="32"/>
      <c r="C30" s="29"/>
      <c r="D30" s="29"/>
      <c r="E30" s="30"/>
      <c r="F30" s="31"/>
      <c r="G30" s="32"/>
      <c r="H30" s="29"/>
      <c r="I30" s="29"/>
      <c r="J30" s="29"/>
      <c r="K30" s="29"/>
      <c r="L30" s="30"/>
      <c r="M30" s="56">
        <v>9.1</v>
      </c>
      <c r="N30" s="55"/>
      <c r="O30" s="31"/>
    </row>
    <row r="31">
      <c r="A31" s="31"/>
      <c r="B31" s="32"/>
      <c r="C31" s="29"/>
      <c r="D31" s="29"/>
      <c r="E31" s="30"/>
      <c r="F31" s="31"/>
      <c r="G31" s="32"/>
      <c r="H31" s="29"/>
      <c r="I31" s="29"/>
      <c r="J31" s="29"/>
      <c r="K31" s="29"/>
      <c r="L31" s="30"/>
      <c r="M31" s="57" t="s">
        <v>8</v>
      </c>
      <c r="N31" s="55"/>
      <c r="O31" s="31"/>
    </row>
    <row r="32">
      <c r="A32" s="31"/>
      <c r="B32" s="32"/>
      <c r="C32" s="29"/>
      <c r="D32" s="29"/>
      <c r="E32" s="30"/>
      <c r="F32" s="31"/>
      <c r="G32" s="32"/>
      <c r="H32" s="29"/>
      <c r="I32" s="29"/>
      <c r="J32" s="29"/>
      <c r="K32" s="29"/>
      <c r="L32" s="30"/>
      <c r="M32" s="58"/>
      <c r="N32" s="55"/>
      <c r="O32" s="31"/>
    </row>
    <row r="33">
      <c r="A33" s="31"/>
      <c r="B33" s="32"/>
      <c r="C33" s="29"/>
      <c r="D33" s="29"/>
      <c r="E33" s="30"/>
      <c r="F33" s="31"/>
      <c r="G33" s="32"/>
      <c r="H33" s="29"/>
      <c r="I33" s="29"/>
      <c r="J33" s="29"/>
      <c r="K33" s="29"/>
      <c r="L33" s="30"/>
      <c r="M33" s="59"/>
      <c r="N33" s="55"/>
      <c r="O33" s="31"/>
    </row>
    <row r="34">
      <c r="A34" s="31"/>
      <c r="B34" s="32"/>
      <c r="C34" s="29"/>
      <c r="D34" s="29"/>
      <c r="E34" s="30"/>
      <c r="F34" s="31"/>
      <c r="G34" s="32"/>
      <c r="H34" s="29"/>
      <c r="I34" s="29"/>
      <c r="J34" s="29"/>
      <c r="K34" s="29"/>
      <c r="L34" s="30"/>
      <c r="M34" s="57"/>
      <c r="N34" s="55"/>
      <c r="O34" s="31"/>
    </row>
    <row r="35">
      <c r="A35" s="31"/>
      <c r="B35" s="32"/>
      <c r="C35" s="29"/>
      <c r="D35" s="29"/>
      <c r="E35" s="30"/>
      <c r="F35" s="31"/>
      <c r="G35" s="32"/>
      <c r="H35" s="29"/>
      <c r="I35" s="29"/>
      <c r="J35" s="29"/>
      <c r="K35" s="29"/>
      <c r="L35" s="30"/>
      <c r="M35" s="55"/>
      <c r="N35" s="55"/>
      <c r="O35" s="31"/>
    </row>
    <row r="36">
      <c r="A36" s="31"/>
      <c r="B36" s="32"/>
      <c r="C36" s="29"/>
      <c r="D36" s="29"/>
      <c r="E36" s="30"/>
      <c r="F36" s="60"/>
      <c r="G36" s="32"/>
      <c r="H36" s="29"/>
      <c r="I36" s="29"/>
      <c r="J36" s="29"/>
      <c r="K36" s="29"/>
      <c r="L36" s="30"/>
      <c r="M36" s="55"/>
      <c r="N36" s="55"/>
      <c r="O36" s="31"/>
    </row>
    <row r="37">
      <c r="A37" s="31"/>
      <c r="B37" s="32"/>
      <c r="C37" s="29"/>
      <c r="D37" s="29"/>
      <c r="E37" s="30"/>
      <c r="F37" s="61"/>
      <c r="G37" s="32"/>
      <c r="H37" s="29"/>
      <c r="I37" s="29"/>
      <c r="J37" s="29"/>
      <c r="K37" s="29"/>
      <c r="L37" s="30"/>
      <c r="M37" s="55"/>
      <c r="N37" s="55"/>
      <c r="O37" s="31"/>
    </row>
    <row r="38">
      <c r="A38" s="31"/>
      <c r="B38" s="32"/>
      <c r="C38" s="29"/>
      <c r="D38" s="29"/>
      <c r="E38" s="30"/>
      <c r="F38" s="31"/>
      <c r="G38" s="32"/>
      <c r="H38" s="29"/>
      <c r="I38" s="29"/>
      <c r="J38" s="29"/>
      <c r="K38" s="29"/>
      <c r="L38" s="30"/>
      <c r="M38" s="55"/>
      <c r="N38" s="55"/>
      <c r="O38" s="31"/>
    </row>
    <row r="39">
      <c r="A39" s="31"/>
      <c r="B39" s="32"/>
      <c r="C39" s="29"/>
      <c r="D39" s="29"/>
      <c r="E39" s="30"/>
      <c r="F39" s="62"/>
      <c r="G39" s="32"/>
      <c r="H39" s="29"/>
      <c r="I39" s="29"/>
      <c r="J39" s="29"/>
      <c r="K39" s="29"/>
      <c r="L39" s="30"/>
      <c r="M39" s="55"/>
      <c r="N39" s="55"/>
      <c r="O39" s="31"/>
    </row>
    <row r="40">
      <c r="A40" s="31"/>
      <c r="B40" s="32"/>
      <c r="C40" s="29"/>
      <c r="D40" s="29"/>
      <c r="E40" s="30"/>
      <c r="F40" s="37"/>
      <c r="G40" s="32"/>
      <c r="H40" s="29"/>
      <c r="I40" s="29"/>
      <c r="J40" s="29"/>
      <c r="K40" s="29"/>
      <c r="L40" s="30"/>
      <c r="M40" s="55"/>
      <c r="N40" s="55"/>
      <c r="O40" s="31"/>
    </row>
    <row r="41">
      <c r="A41" s="31"/>
      <c r="B41" s="49"/>
      <c r="C41" s="50"/>
      <c r="D41" s="50"/>
      <c r="E41" s="51"/>
      <c r="F41" s="31"/>
      <c r="G41" s="49"/>
      <c r="H41" s="50"/>
      <c r="I41" s="50"/>
      <c r="J41" s="50"/>
      <c r="K41" s="50"/>
      <c r="L41" s="51"/>
      <c r="M41" s="55"/>
      <c r="N41" s="55"/>
      <c r="O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</row>
  </sheetData>
  <mergeCells count="2">
    <mergeCell ref="A1:O1"/>
    <mergeCell ref="A2:O2"/>
  </mergeCells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5.25"/>
    <col customWidth="1" min="2" max="2" width="14.5"/>
    <col customWidth="1" min="3" max="4" width="12.75"/>
    <col customWidth="1" min="5" max="5" width="15.0"/>
    <col customWidth="1" min="6" max="6" width="16.25"/>
    <col customWidth="1" min="7" max="7" width="13.63"/>
    <col customWidth="1" min="8" max="8" width="15.25"/>
    <col customWidth="1" min="9" max="9" width="16.88"/>
    <col customWidth="1" min="10" max="10" width="13.13"/>
    <col customWidth="1" min="11" max="11" width="13.38"/>
    <col customWidth="1" min="12" max="12" width="14.5"/>
    <col customWidth="1" min="13" max="13" width="15.13"/>
    <col customWidth="1" min="14" max="14" width="17.38"/>
    <col customWidth="1" min="15" max="15" width="16.25"/>
    <col customWidth="1" min="16" max="16" width="16.5"/>
    <col customWidth="1" min="17" max="17" width="15.88"/>
    <col customWidth="1" min="18" max="18" width="17.38"/>
  </cols>
  <sheetData>
    <row r="1">
      <c r="B1" s="63" t="s">
        <v>9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5"/>
    </row>
    <row r="2">
      <c r="B2" s="63" t="s">
        <v>10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5"/>
    </row>
    <row r="3">
      <c r="A3" s="66"/>
      <c r="B3" s="66"/>
      <c r="C3" s="66"/>
      <c r="D3" s="66"/>
      <c r="E3" s="66"/>
      <c r="F3" s="66"/>
      <c r="G3" s="66"/>
      <c r="H3" s="67"/>
      <c r="I3" s="68"/>
      <c r="J3" s="69"/>
      <c r="K3" s="66"/>
      <c r="L3" s="67"/>
      <c r="M3" s="70"/>
      <c r="N3" s="70"/>
      <c r="O3" s="70"/>
      <c r="P3" s="71"/>
      <c r="Q3" s="72"/>
      <c r="R3" s="73"/>
    </row>
    <row r="4">
      <c r="A4" s="74" t="s">
        <v>11</v>
      </c>
      <c r="B4" s="75" t="s">
        <v>12</v>
      </c>
      <c r="C4" s="76" t="s">
        <v>13</v>
      </c>
      <c r="D4" s="77" t="s">
        <v>14</v>
      </c>
      <c r="E4" s="77" t="s">
        <v>15</v>
      </c>
      <c r="F4" s="77" t="s">
        <v>16</v>
      </c>
      <c r="G4" s="77" t="s">
        <v>17</v>
      </c>
      <c r="H4" s="78" t="s">
        <v>18</v>
      </c>
      <c r="I4" s="79" t="s">
        <v>19</v>
      </c>
      <c r="J4" s="80" t="s">
        <v>20</v>
      </c>
      <c r="K4" s="81" t="s">
        <v>21</v>
      </c>
      <c r="L4" s="82" t="s">
        <v>22</v>
      </c>
      <c r="M4" s="83" t="s">
        <v>23</v>
      </c>
      <c r="N4" s="84" t="s">
        <v>24</v>
      </c>
      <c r="O4" s="85" t="s">
        <v>25</v>
      </c>
      <c r="P4" s="86" t="s">
        <v>26</v>
      </c>
      <c r="Q4" s="87" t="s">
        <v>27</v>
      </c>
      <c r="R4" s="88" t="s">
        <v>28</v>
      </c>
    </row>
    <row r="5">
      <c r="A5" s="89" t="s">
        <v>29</v>
      </c>
      <c r="B5" s="89">
        <f>SUM('Customer Acquisition'!D38)</f>
        <v>3952.296795</v>
      </c>
      <c r="C5" s="90">
        <f>SUM(B5*B7)</f>
        <v>988.0741987</v>
      </c>
      <c r="D5" s="91">
        <f>SUM(B5*C7)</f>
        <v>1976.148397</v>
      </c>
      <c r="E5" s="92">
        <f>SUM(B5*D7)</f>
        <v>2964.222596</v>
      </c>
      <c r="F5" s="91">
        <f>SUM(B5*E7)</f>
        <v>3952.296795</v>
      </c>
      <c r="G5" s="92">
        <f>SUM(B5*F7)</f>
        <v>10483.79126</v>
      </c>
      <c r="H5" s="92">
        <f>SUM(B5*G7)</f>
        <v>13437.75261</v>
      </c>
      <c r="I5" s="93"/>
      <c r="J5" s="92">
        <f>SUM(B5*H7)</f>
        <v>14028.81088</v>
      </c>
      <c r="K5" s="92">
        <f>SUM(B5*J7)</f>
        <v>21297.58248</v>
      </c>
      <c r="L5" s="92">
        <f>SUM(B5*K7)</f>
        <v>31309.22038</v>
      </c>
      <c r="M5" s="94">
        <f>SUM(B5*L7)</f>
        <v>43748.909</v>
      </c>
      <c r="N5" s="95">
        <f>SUM(B5*M7)</f>
        <v>56704.90172</v>
      </c>
      <c r="O5" s="96">
        <f>SUM(B5*N7)</f>
        <v>81727.75602</v>
      </c>
      <c r="P5" s="97">
        <f>SUM(O11)</f>
        <v>268488.493</v>
      </c>
      <c r="Q5" s="98">
        <f t="shared" ref="Q5:R5" si="1">SUM(P5*Q7)</f>
        <v>536976.986</v>
      </c>
      <c r="R5" s="98">
        <f t="shared" si="1"/>
        <v>1073953.972</v>
      </c>
    </row>
    <row r="6">
      <c r="A6" s="89" t="s">
        <v>30</v>
      </c>
      <c r="B6" s="89"/>
      <c r="C6" s="99">
        <f t="shared" ref="C6:H6" si="2">SUM(C12)</f>
        <v>281.6011466</v>
      </c>
      <c r="D6" s="100">
        <f t="shared" si="2"/>
        <v>844.8034399</v>
      </c>
      <c r="E6" s="100">
        <f t="shared" si="2"/>
        <v>1689.60688</v>
      </c>
      <c r="F6" s="100">
        <f t="shared" si="2"/>
        <v>2816.011466</v>
      </c>
      <c r="G6" s="100">
        <f t="shared" si="2"/>
        <v>5803.891976</v>
      </c>
      <c r="H6" s="101">
        <f t="shared" si="2"/>
        <v>9633.651469</v>
      </c>
      <c r="I6" s="102"/>
      <c r="J6" s="103">
        <f t="shared" ref="J6:R6" si="3">SUM(J12)</f>
        <v>13631.86257</v>
      </c>
      <c r="K6" s="100">
        <f t="shared" si="3"/>
        <v>19701.67358</v>
      </c>
      <c r="L6" s="101">
        <f t="shared" si="3"/>
        <v>28624.80139</v>
      </c>
      <c r="M6" s="94">
        <f t="shared" si="3"/>
        <v>41093.24045</v>
      </c>
      <c r="N6" s="95">
        <f t="shared" si="3"/>
        <v>57254.13744</v>
      </c>
      <c r="O6" s="104">
        <f t="shared" si="3"/>
        <v>80546.54791</v>
      </c>
      <c r="P6" s="97">
        <f t="shared" si="3"/>
        <v>80546.54791</v>
      </c>
      <c r="Q6" s="105">
        <f t="shared" si="3"/>
        <v>241639.6437</v>
      </c>
      <c r="R6" s="105">
        <f t="shared" si="3"/>
        <v>563825.8354</v>
      </c>
    </row>
    <row r="7">
      <c r="A7" s="106" t="s">
        <v>31</v>
      </c>
      <c r="B7" s="107">
        <v>0.25</v>
      </c>
      <c r="C7" s="108">
        <v>0.5</v>
      </c>
      <c r="D7" s="109">
        <v>0.75</v>
      </c>
      <c r="E7" s="109">
        <v>1.0</v>
      </c>
      <c r="F7" s="109">
        <f t="shared" ref="F7:H7" si="4">Max(0,E44)</f>
        <v>2.652581981</v>
      </c>
      <c r="G7" s="109">
        <f t="shared" si="4"/>
        <v>3.399985706</v>
      </c>
      <c r="H7" s="110">
        <f t="shared" si="4"/>
        <v>3.549533755</v>
      </c>
      <c r="I7" s="111"/>
      <c r="J7" s="112">
        <f t="shared" ref="J7:O7" si="5">Max(0,I44)</f>
        <v>5.388659705</v>
      </c>
      <c r="K7" s="109">
        <f t="shared" si="5"/>
        <v>7.921778654</v>
      </c>
      <c r="L7" s="110">
        <f t="shared" si="5"/>
        <v>11.06923677</v>
      </c>
      <c r="M7" s="113">
        <f t="shared" si="5"/>
        <v>14.34732882</v>
      </c>
      <c r="N7" s="114">
        <f t="shared" si="5"/>
        <v>20.67854725</v>
      </c>
      <c r="O7" s="115">
        <f t="shared" si="5"/>
        <v>25.57868493</v>
      </c>
      <c r="P7" s="116"/>
      <c r="Q7" s="117">
        <v>2.0</v>
      </c>
      <c r="R7" s="118">
        <v>2.0</v>
      </c>
    </row>
    <row r="8">
      <c r="A8" s="106" t="s">
        <v>32</v>
      </c>
      <c r="B8" s="119"/>
      <c r="C8" s="120">
        <v>0.05</v>
      </c>
      <c r="D8" s="121">
        <v>0.05</v>
      </c>
      <c r="E8" s="121">
        <v>0.05</v>
      </c>
      <c r="F8" s="121">
        <v>0.05</v>
      </c>
      <c r="G8" s="121">
        <v>0.05</v>
      </c>
      <c r="H8" s="121">
        <v>0.05</v>
      </c>
      <c r="I8" s="122"/>
      <c r="J8" s="121">
        <v>0.05</v>
      </c>
      <c r="K8" s="121">
        <v>0.05</v>
      </c>
      <c r="L8" s="121">
        <v>0.05</v>
      </c>
      <c r="M8" s="123">
        <v>0.05</v>
      </c>
      <c r="N8" s="124">
        <v>0.05</v>
      </c>
      <c r="O8" s="125">
        <v>0.05</v>
      </c>
      <c r="P8" s="126"/>
      <c r="Q8" s="127"/>
      <c r="R8" s="127"/>
    </row>
    <row r="9">
      <c r="A9" s="106" t="s">
        <v>33</v>
      </c>
      <c r="B9" s="119"/>
      <c r="C9" s="120">
        <f>SUM('Income Statement'!D4)</f>
        <v>0.3</v>
      </c>
      <c r="D9" s="121">
        <f t="shared" ref="D9:H9" si="6">SUM(C9)</f>
        <v>0.3</v>
      </c>
      <c r="E9" s="121">
        <f t="shared" si="6"/>
        <v>0.3</v>
      </c>
      <c r="F9" s="121">
        <f t="shared" si="6"/>
        <v>0.3</v>
      </c>
      <c r="G9" s="121">
        <f t="shared" si="6"/>
        <v>0.3</v>
      </c>
      <c r="H9" s="121">
        <f t="shared" si="6"/>
        <v>0.3</v>
      </c>
      <c r="I9" s="122"/>
      <c r="J9" s="121">
        <f>SUM(H9)</f>
        <v>0.3</v>
      </c>
      <c r="K9" s="121">
        <f t="shared" ref="K9:R9" si="7">SUM(J9)</f>
        <v>0.3</v>
      </c>
      <c r="L9" s="121">
        <f t="shared" si="7"/>
        <v>0.3</v>
      </c>
      <c r="M9" s="123">
        <f t="shared" si="7"/>
        <v>0.3</v>
      </c>
      <c r="N9" s="124">
        <f t="shared" si="7"/>
        <v>0.3</v>
      </c>
      <c r="O9" s="125">
        <f t="shared" si="7"/>
        <v>0.3</v>
      </c>
      <c r="P9" s="128">
        <f t="shared" si="7"/>
        <v>0.3</v>
      </c>
      <c r="Q9" s="129">
        <f t="shared" si="7"/>
        <v>0.3</v>
      </c>
      <c r="R9" s="129">
        <f t="shared" si="7"/>
        <v>0.3</v>
      </c>
    </row>
    <row r="10">
      <c r="A10" s="130" t="s">
        <v>34</v>
      </c>
      <c r="B10" s="130"/>
      <c r="C10" s="131">
        <f>SUM(C5)</f>
        <v>988.0741987</v>
      </c>
      <c r="D10" s="132">
        <f t="shared" ref="D10:H10" si="8">SUM(C10+D5)</f>
        <v>2964.222596</v>
      </c>
      <c r="E10" s="132">
        <f t="shared" si="8"/>
        <v>5928.445192</v>
      </c>
      <c r="F10" s="132">
        <f t="shared" si="8"/>
        <v>9880.741987</v>
      </c>
      <c r="G10" s="132">
        <f t="shared" si="8"/>
        <v>20364.53325</v>
      </c>
      <c r="H10" s="132">
        <f t="shared" si="8"/>
        <v>33802.28586</v>
      </c>
      <c r="I10" s="133"/>
      <c r="J10" s="132">
        <f>SUM(H10+J5)</f>
        <v>47831.09674</v>
      </c>
      <c r="K10" s="132">
        <f t="shared" ref="K10:O10" si="9">SUM(J10+K5)</f>
        <v>69128.67922</v>
      </c>
      <c r="L10" s="132">
        <f t="shared" si="9"/>
        <v>100437.8996</v>
      </c>
      <c r="M10" s="134">
        <f t="shared" si="9"/>
        <v>144186.8086</v>
      </c>
      <c r="N10" s="135">
        <f t="shared" si="9"/>
        <v>200891.7103</v>
      </c>
      <c r="O10" s="136">
        <f t="shared" si="9"/>
        <v>282619.4663</v>
      </c>
      <c r="P10" s="137"/>
      <c r="Q10" s="138"/>
      <c r="R10" s="138"/>
    </row>
    <row r="11">
      <c r="A11" s="139" t="s">
        <v>35</v>
      </c>
      <c r="B11" s="139"/>
      <c r="C11" s="140">
        <f t="shared" ref="C11:H11" si="10">SUM(C10-(C10*C8))</f>
        <v>938.6704888</v>
      </c>
      <c r="D11" s="141">
        <f t="shared" si="10"/>
        <v>2816.011466</v>
      </c>
      <c r="E11" s="141">
        <f t="shared" si="10"/>
        <v>5632.022933</v>
      </c>
      <c r="F11" s="141">
        <f t="shared" si="10"/>
        <v>9386.704888</v>
      </c>
      <c r="G11" s="141">
        <f t="shared" si="10"/>
        <v>19346.30659</v>
      </c>
      <c r="H11" s="141">
        <f t="shared" si="10"/>
        <v>32112.17156</v>
      </c>
      <c r="I11" s="133"/>
      <c r="J11" s="141">
        <f t="shared" ref="J11:O11" si="11">SUM(J10-(J10*J8))</f>
        <v>45439.5419</v>
      </c>
      <c r="K11" s="141">
        <f t="shared" si="11"/>
        <v>65672.24526</v>
      </c>
      <c r="L11" s="141">
        <f t="shared" si="11"/>
        <v>95416.00462</v>
      </c>
      <c r="M11" s="142">
        <f t="shared" si="11"/>
        <v>136977.4682</v>
      </c>
      <c r="N11" s="143">
        <f t="shared" si="11"/>
        <v>190847.1248</v>
      </c>
      <c r="O11" s="144">
        <f t="shared" si="11"/>
        <v>268488.493</v>
      </c>
      <c r="P11" s="145">
        <f>SUM(O11)</f>
        <v>268488.493</v>
      </c>
      <c r="Q11" s="146">
        <f t="shared" ref="Q11:R11" si="12">SUM(P11+Q5)</f>
        <v>805465.4791</v>
      </c>
      <c r="R11" s="146">
        <f t="shared" si="12"/>
        <v>1879419.451</v>
      </c>
    </row>
    <row r="12">
      <c r="A12" s="147" t="s">
        <v>36</v>
      </c>
      <c r="B12" s="147">
        <v>1.0</v>
      </c>
      <c r="C12" s="148">
        <f t="shared" ref="C12:H12" si="13">SUM(C11*C9)</f>
        <v>281.6011466</v>
      </c>
      <c r="D12" s="149">
        <f t="shared" si="13"/>
        <v>844.8034399</v>
      </c>
      <c r="E12" s="149">
        <f t="shared" si="13"/>
        <v>1689.60688</v>
      </c>
      <c r="F12" s="149">
        <f t="shared" si="13"/>
        <v>2816.011466</v>
      </c>
      <c r="G12" s="149">
        <f t="shared" si="13"/>
        <v>5803.891976</v>
      </c>
      <c r="H12" s="149">
        <f t="shared" si="13"/>
        <v>9633.651469</v>
      </c>
      <c r="I12" s="133"/>
      <c r="J12" s="149">
        <f t="shared" ref="J12:R12" si="14">SUM(J11*J9)</f>
        <v>13631.86257</v>
      </c>
      <c r="K12" s="149">
        <f t="shared" si="14"/>
        <v>19701.67358</v>
      </c>
      <c r="L12" s="149">
        <f t="shared" si="14"/>
        <v>28624.80139</v>
      </c>
      <c r="M12" s="150">
        <f t="shared" si="14"/>
        <v>41093.24045</v>
      </c>
      <c r="N12" s="151">
        <f t="shared" si="14"/>
        <v>57254.13744</v>
      </c>
      <c r="O12" s="152">
        <f t="shared" si="14"/>
        <v>80546.54791</v>
      </c>
      <c r="P12" s="153">
        <f t="shared" si="14"/>
        <v>80546.54791</v>
      </c>
      <c r="Q12" s="154">
        <f t="shared" si="14"/>
        <v>241639.6437</v>
      </c>
      <c r="R12" s="154">
        <f t="shared" si="14"/>
        <v>563825.8354</v>
      </c>
    </row>
    <row r="13">
      <c r="A13" s="155" t="s">
        <v>37</v>
      </c>
      <c r="B13" s="155">
        <f>SUM('Customer Acquisition'!D62)</f>
        <v>158.3333333</v>
      </c>
      <c r="C13" s="156">
        <f>SUM(B13*C14)</f>
        <v>158.3333333</v>
      </c>
      <c r="D13" s="156">
        <f>SUM(B13*D14)</f>
        <v>158.3333333</v>
      </c>
      <c r="E13" s="157">
        <f>SUM(B13*E14)</f>
        <v>448.6839914</v>
      </c>
      <c r="F13" s="157">
        <f>SUM(B13*F14)</f>
        <v>406.2206305</v>
      </c>
      <c r="G13" s="157">
        <f>SUM(B13*G14)</f>
        <v>338.3322613</v>
      </c>
      <c r="H13" s="157">
        <f>SUM(B13*H14)</f>
        <v>349.5483649</v>
      </c>
      <c r="I13" s="158">
        <f>SUM(B13*I14)</f>
        <v>474.3168321</v>
      </c>
      <c r="J13" s="157">
        <f>SUM(I13+(C13*3))</f>
        <v>949.3168321</v>
      </c>
      <c r="K13" s="157">
        <f t="shared" ref="K13:O13" si="15">SUM(D13*K14)</f>
        <v>656.7013964</v>
      </c>
      <c r="L13" s="157">
        <f t="shared" si="15"/>
        <v>2503.142</v>
      </c>
      <c r="M13" s="157">
        <f t="shared" si="15"/>
        <v>2871.785749</v>
      </c>
      <c r="N13" s="157">
        <f t="shared" si="15"/>
        <v>3365.918948</v>
      </c>
      <c r="O13" s="157">
        <f t="shared" si="15"/>
        <v>4256.392263</v>
      </c>
      <c r="P13" s="159">
        <f>SUM(C13:O13)</f>
        <v>16937.02594</v>
      </c>
      <c r="Q13" s="160">
        <f t="shared" ref="Q13:R13" si="16">P13+P13*Q14</f>
        <v>84685.12968</v>
      </c>
      <c r="R13" s="160">
        <f t="shared" si="16"/>
        <v>592795.9077</v>
      </c>
    </row>
    <row r="14">
      <c r="A14" s="119" t="s">
        <v>38</v>
      </c>
      <c r="B14" s="119"/>
      <c r="C14" s="161">
        <v>1.0</v>
      </c>
      <c r="D14" s="162">
        <f t="shared" ref="D14:I14" si="17">Max(0,C49)</f>
        <v>1</v>
      </c>
      <c r="E14" s="162">
        <f t="shared" si="17"/>
        <v>2.83379363</v>
      </c>
      <c r="F14" s="162">
        <f t="shared" si="17"/>
        <v>2.565603982</v>
      </c>
      <c r="G14" s="162">
        <f t="shared" si="17"/>
        <v>2.136835335</v>
      </c>
      <c r="H14" s="163">
        <f t="shared" si="17"/>
        <v>2.207673884</v>
      </c>
      <c r="I14" s="163">
        <f t="shared" si="17"/>
        <v>2.995685255</v>
      </c>
      <c r="J14" s="164">
        <f>Max(0,H49)</f>
        <v>2.995685255</v>
      </c>
      <c r="K14" s="162">
        <f t="shared" ref="K14:O14" si="18">Max(0,J49)</f>
        <v>4.147587767</v>
      </c>
      <c r="L14" s="162">
        <f t="shared" si="18"/>
        <v>5.578852931</v>
      </c>
      <c r="M14" s="162">
        <f t="shared" si="18"/>
        <v>7.069522159</v>
      </c>
      <c r="N14" s="162">
        <f t="shared" si="18"/>
        <v>9.948560434</v>
      </c>
      <c r="O14" s="162">
        <f t="shared" si="18"/>
        <v>12.17683357</v>
      </c>
      <c r="P14" s="165">
        <f>AVERAGE(D14:O14)</f>
        <v>4.63805285</v>
      </c>
      <c r="Q14" s="117">
        <v>4.0</v>
      </c>
      <c r="R14" s="118">
        <f>Q14*1.5</f>
        <v>6</v>
      </c>
    </row>
    <row r="15">
      <c r="A15" s="119" t="s">
        <v>39</v>
      </c>
      <c r="B15" s="119"/>
      <c r="C15" s="166">
        <v>0.1</v>
      </c>
      <c r="D15" s="167">
        <v>0.1</v>
      </c>
      <c r="E15" s="167">
        <v>0.1</v>
      </c>
      <c r="F15" s="167">
        <v>0.1</v>
      </c>
      <c r="G15" s="167">
        <v>0.1</v>
      </c>
      <c r="H15" s="167">
        <v>0.1</v>
      </c>
      <c r="I15" s="168"/>
      <c r="J15" s="167">
        <v>0.1</v>
      </c>
      <c r="K15" s="167">
        <v>0.1</v>
      </c>
      <c r="L15" s="167">
        <v>0.1</v>
      </c>
      <c r="M15" s="169">
        <v>0.1</v>
      </c>
      <c r="N15" s="170">
        <v>0.1</v>
      </c>
      <c r="O15" s="171">
        <v>0.1</v>
      </c>
      <c r="P15" s="126">
        <v>0.1</v>
      </c>
      <c r="Q15" s="127">
        <v>0.1</v>
      </c>
      <c r="R15" s="127">
        <v>0.1</v>
      </c>
    </row>
    <row r="16">
      <c r="A16" s="172" t="s">
        <v>40</v>
      </c>
      <c r="B16" s="172"/>
      <c r="C16" s="173">
        <v>0.1</v>
      </c>
      <c r="D16" s="174">
        <v>0.1</v>
      </c>
      <c r="E16" s="174">
        <v>0.2</v>
      </c>
      <c r="F16" s="174">
        <v>0.2</v>
      </c>
      <c r="G16" s="174">
        <v>0.2</v>
      </c>
      <c r="H16" s="174">
        <v>0.2</v>
      </c>
      <c r="I16" s="175"/>
      <c r="J16" s="174">
        <v>0.3</v>
      </c>
      <c r="K16" s="174">
        <v>0.3</v>
      </c>
      <c r="L16" s="174">
        <v>0.3</v>
      </c>
      <c r="M16" s="176">
        <v>0.35</v>
      </c>
      <c r="N16" s="177">
        <v>0.35</v>
      </c>
      <c r="O16" s="178">
        <v>0.4</v>
      </c>
      <c r="P16" s="179"/>
      <c r="Q16" s="180"/>
      <c r="R16" s="180"/>
    </row>
    <row r="17">
      <c r="A17" s="181" t="s">
        <v>41</v>
      </c>
      <c r="B17" s="181"/>
      <c r="C17" s="182">
        <v>1.0</v>
      </c>
      <c r="D17" s="183">
        <v>1.0</v>
      </c>
      <c r="E17" s="183">
        <v>1.0</v>
      </c>
      <c r="F17" s="183">
        <v>1.0</v>
      </c>
      <c r="G17" s="183">
        <v>1.0</v>
      </c>
      <c r="H17" s="183">
        <v>1.0</v>
      </c>
      <c r="I17" s="184"/>
      <c r="J17" s="183">
        <v>4.0</v>
      </c>
      <c r="K17" s="183">
        <v>4.0</v>
      </c>
      <c r="L17" s="183">
        <v>4.0</v>
      </c>
      <c r="M17" s="185">
        <v>16.0</v>
      </c>
      <c r="N17" s="186">
        <v>16.0</v>
      </c>
      <c r="O17" s="187">
        <v>32.0</v>
      </c>
      <c r="P17" s="188">
        <v>64.0</v>
      </c>
      <c r="Q17" s="189">
        <v>120.0</v>
      </c>
      <c r="R17" s="189">
        <v>120.0</v>
      </c>
    </row>
    <row r="18">
      <c r="A18" s="190" t="s">
        <v>42</v>
      </c>
      <c r="B18" s="190"/>
      <c r="C18" s="191">
        <f>C13-C13*C15</f>
        <v>142.5</v>
      </c>
      <c r="D18" s="192">
        <f t="shared" ref="D18:H18" si="19">D13-D13*D15+C18</f>
        <v>285</v>
      </c>
      <c r="E18" s="192">
        <f t="shared" si="19"/>
        <v>688.8155923</v>
      </c>
      <c r="F18" s="192">
        <f t="shared" si="19"/>
        <v>1054.41416</v>
      </c>
      <c r="G18" s="192">
        <f t="shared" si="19"/>
        <v>1358.913195</v>
      </c>
      <c r="H18" s="193">
        <f t="shared" si="19"/>
        <v>1673.506723</v>
      </c>
      <c r="I18" s="194"/>
      <c r="J18" s="192">
        <f>J13-J13*J15+H18</f>
        <v>2527.891872</v>
      </c>
      <c r="K18" s="192">
        <f t="shared" ref="K18:O18" si="20">K13-K13*K15+J18</f>
        <v>3118.923129</v>
      </c>
      <c r="L18" s="193">
        <f t="shared" si="20"/>
        <v>5371.750929</v>
      </c>
      <c r="M18" s="195">
        <f t="shared" si="20"/>
        <v>7956.358103</v>
      </c>
      <c r="N18" s="196">
        <f t="shared" si="20"/>
        <v>10985.68516</v>
      </c>
      <c r="O18" s="197">
        <f t="shared" si="20"/>
        <v>14816.43819</v>
      </c>
      <c r="P18" s="198">
        <v>39032.2265625</v>
      </c>
      <c r="Q18" s="199">
        <f t="shared" ref="Q18:R18" si="21">Q13-Q13*Q15+P18</f>
        <v>115248.8433</v>
      </c>
      <c r="R18" s="200">
        <f t="shared" si="21"/>
        <v>648765.1602</v>
      </c>
    </row>
    <row r="19">
      <c r="A19" s="201" t="s">
        <v>43</v>
      </c>
      <c r="B19" s="201"/>
      <c r="C19" s="202">
        <f>SUM(C6*Assumptions!C23*Assumptions!D23)</f>
        <v>45760.18633</v>
      </c>
      <c r="D19" s="203">
        <f>SUM(D6*Assumptions!C23*Assumptions!D23)</f>
        <v>137280.559</v>
      </c>
      <c r="E19" s="203">
        <f>SUM(E6*Assumptions!C23*Assumptions!D23)</f>
        <v>274561.118</v>
      </c>
      <c r="F19" s="204">
        <f>SUM(F6*Assumptions!C23*Assumptions!D23)</f>
        <v>457601.8633</v>
      </c>
      <c r="G19" s="203">
        <f>SUM(G6*Assumptions!C23*Assumptions!D23)</f>
        <v>943132.4461</v>
      </c>
      <c r="H19" s="205">
        <f>SUM(H6*Assumptions!C23*Assumptions!D23)</f>
        <v>1565468.364</v>
      </c>
      <c r="I19" s="206"/>
      <c r="J19" s="203">
        <f>SUM(J6*Assumptions!C23*Assumptions!D23)</f>
        <v>2215177.668</v>
      </c>
      <c r="K19" s="207">
        <f>SUM(K6*Assumptions!C23*Assumptions!D23)</f>
        <v>3201521.956</v>
      </c>
      <c r="L19" s="205">
        <f>SUM(L6*Assumptions!C23*Assumptions!D23)</f>
        <v>4651530.225</v>
      </c>
      <c r="M19" s="208">
        <f>SUM(M6*Assumptions!C23*Assumptions!D23)</f>
        <v>6677651.573</v>
      </c>
      <c r="N19" s="209">
        <f>SUM(N6*Assumptions!C23*Assumptions!D23)</f>
        <v>9303797.334</v>
      </c>
      <c r="O19" s="210">
        <f>SUM(O6*Assumptions!C23*Assumptions!D23)</f>
        <v>13088814.03</v>
      </c>
      <c r="P19" s="211">
        <f>SUM(C18:O19)</f>
        <v>42612277.53</v>
      </c>
      <c r="Q19" s="212">
        <f>SUM(12*Q6*Assumptions!C23*Assumptions!D23)</f>
        <v>471197305.3</v>
      </c>
      <c r="R19" s="213">
        <f>SUM(12*R6*Assumptions!C23*Assumptions!D23)</f>
        <v>1099460379</v>
      </c>
    </row>
    <row r="20">
      <c r="A20" s="214" t="s">
        <v>44</v>
      </c>
      <c r="B20" s="214"/>
      <c r="C20" s="215">
        <f>SUM(C6*Assumptions!C24*Assumptions!D24)</f>
        <v>18304.07453</v>
      </c>
      <c r="D20" s="216">
        <f>SUM(D6*Assumptions!C24*Assumptions!D24)</f>
        <v>54912.22359</v>
      </c>
      <c r="E20" s="216">
        <f>SUM(E6*Assumptions!C24*Assumptions!D24)</f>
        <v>109824.4472</v>
      </c>
      <c r="F20" s="216">
        <f>SUM(F6*Assumptions!C24*Assumptions!D24)</f>
        <v>183040.7453</v>
      </c>
      <c r="G20" s="216">
        <f>SUM(G6*Assumptions!C24*Assumptions!D24)</f>
        <v>377252.9784</v>
      </c>
      <c r="H20" s="217">
        <f>SUM(H6*Assumptions!C24*Assumptions!D24)</f>
        <v>626187.3455</v>
      </c>
      <c r="I20" s="218"/>
      <c r="J20" s="219">
        <f>SUM(J6*Assumptions!C24*Assumptions!D24)</f>
        <v>886071.0671</v>
      </c>
      <c r="K20" s="220">
        <f>SUM(K6*Assumptions!C24*Assumptions!D24)</f>
        <v>1280608.783</v>
      </c>
      <c r="L20" s="217">
        <f>SUM(L6*Assumptions!C24*Assumptions!D24)</f>
        <v>1860612.09</v>
      </c>
      <c r="M20" s="221">
        <f>SUM(M6*Assumptions!C24*Assumptions!D24)</f>
        <v>2671060.629</v>
      </c>
      <c r="N20" s="222">
        <f>SUM(N6*Assumptions!C24*Assumptions!D24)</f>
        <v>3721518.934</v>
      </c>
      <c r="O20" s="223">
        <f>SUM(O6*Assumptions!C24*Assumptions!D24)</f>
        <v>5235525.614</v>
      </c>
      <c r="P20" s="211">
        <f t="shared" ref="P20:P24" si="22">SUM(C20:O20)</f>
        <v>17024918.93</v>
      </c>
      <c r="Q20" s="224">
        <f>SUM(12*Q6*Assumptions!C24*Assumptions!D24)</f>
        <v>188478922.1</v>
      </c>
      <c r="R20" s="225">
        <f>SUM(12*R6*Assumptions!C24*Assumptions!D24)</f>
        <v>439784151.6</v>
      </c>
    </row>
    <row r="21">
      <c r="A21" s="201" t="s">
        <v>45</v>
      </c>
      <c r="B21" s="201">
        <f>SUM(Assumptions!E25)</f>
        <v>1500</v>
      </c>
      <c r="C21" s="226">
        <f>SUM(B21*(C18*C16))</f>
        <v>21375</v>
      </c>
      <c r="D21" s="226">
        <f>SUM(B21*(D18*D16))</f>
        <v>42750</v>
      </c>
      <c r="E21" s="226">
        <f>SUM(B21*(E18*E16))</f>
        <v>206644.6777</v>
      </c>
      <c r="F21" s="226">
        <f>SUM(B21*(F18*F16))</f>
        <v>316324.2479</v>
      </c>
      <c r="G21" s="226">
        <f>SUM(B21*(G18*G16))</f>
        <v>407673.9585</v>
      </c>
      <c r="H21" s="226">
        <f>SUM(B21*(H18*H16))</f>
        <v>502052.017</v>
      </c>
      <c r="I21" s="227"/>
      <c r="J21" s="226">
        <f>SUM(B21*(J18*J16))</f>
        <v>1137551.342</v>
      </c>
      <c r="K21" s="226">
        <f>SUM(B21*(K18*K16))</f>
        <v>1403515.408</v>
      </c>
      <c r="L21" s="226">
        <f>SUM(B21*(L18*L16))</f>
        <v>2417287.918</v>
      </c>
      <c r="M21" s="226">
        <f>SUM(B21*(M18*M16))</f>
        <v>4177088.004</v>
      </c>
      <c r="N21" s="226">
        <f>SUM(B21*(N18*N16))</f>
        <v>5767484.707</v>
      </c>
      <c r="O21" s="203">
        <f>SUM(B21*(O18*O16))</f>
        <v>8889862.916</v>
      </c>
      <c r="P21" s="211">
        <f t="shared" si="22"/>
        <v>25289610.2</v>
      </c>
      <c r="Q21" s="228">
        <f t="shared" ref="Q21:R21" si="23">SUM(12*Q18*500)</f>
        <v>691493059.6</v>
      </c>
      <c r="R21" s="228">
        <f t="shared" si="23"/>
        <v>3892590961</v>
      </c>
    </row>
    <row r="22">
      <c r="A22" s="214" t="s">
        <v>46</v>
      </c>
      <c r="B22" s="214"/>
      <c r="C22" s="229">
        <f>SUM(C6*Assumptions!C26*Assumptions!D26)</f>
        <v>2816.011466</v>
      </c>
      <c r="D22" s="230">
        <f>SUM(D6*Assumptions!C26*Assumptions!D26)</f>
        <v>8448.034399</v>
      </c>
      <c r="E22" s="230">
        <f>SUM(E6*Assumptions!C26*Assumptions!D26)</f>
        <v>16896.0688</v>
      </c>
      <c r="F22" s="230">
        <f>SUM(F6*Assumptions!C26*Assumptions!D26)</f>
        <v>28160.11466</v>
      </c>
      <c r="G22" s="230">
        <f>SUM(G6*Assumptions!C26*Assumptions!D26)</f>
        <v>58038.91976</v>
      </c>
      <c r="H22" s="231">
        <f>SUM(H6*Assumptions!C26*Assumptions!D26)</f>
        <v>96336.51469</v>
      </c>
      <c r="I22" s="232"/>
      <c r="J22" s="230">
        <f>SUM(J6*Assumptions!C26*Assumptions!D26)</f>
        <v>136318.6257</v>
      </c>
      <c r="K22" s="230">
        <f>SUM(K6*Assumptions!C26*Assumptions!D26)</f>
        <v>197016.7358</v>
      </c>
      <c r="L22" s="231">
        <f>SUM(L6*Assumptions!C26*Assumptions!D26)</f>
        <v>286248.0139</v>
      </c>
      <c r="M22" s="233">
        <f>SUM(M6*Assumptions!C26*Assumptions!D26)</f>
        <v>410932.4045</v>
      </c>
      <c r="N22" s="234">
        <f>SUM(N6*Assumptions!C26*Assumptions!D26)</f>
        <v>572541.3744</v>
      </c>
      <c r="O22" s="235">
        <f>SUM(O6*Assumptions!C26*Assumptions!D26)</f>
        <v>805465.4791</v>
      </c>
      <c r="P22" s="211">
        <f t="shared" si="22"/>
        <v>2619218.297</v>
      </c>
      <c r="Q22" s="236">
        <f>SUM(12*Q6*Assumptions!C26*Assumptions!D26)</f>
        <v>28996757.25</v>
      </c>
      <c r="R22" s="237">
        <f>SUM(12*R6*Assumptions!C26*Assumptions!D26)</f>
        <v>67659100.24</v>
      </c>
    </row>
    <row r="23">
      <c r="A23" s="201" t="s">
        <v>47</v>
      </c>
      <c r="B23" s="201"/>
      <c r="C23" s="238">
        <f t="shared" ref="C23:H23" si="24">SUM(C6*49)</f>
        <v>13798.45618</v>
      </c>
      <c r="D23" s="239">
        <f t="shared" si="24"/>
        <v>41395.36855</v>
      </c>
      <c r="E23" s="239">
        <f t="shared" si="24"/>
        <v>82790.73711</v>
      </c>
      <c r="F23" s="239">
        <f t="shared" si="24"/>
        <v>137984.5618</v>
      </c>
      <c r="G23" s="239">
        <f t="shared" si="24"/>
        <v>284390.7068</v>
      </c>
      <c r="H23" s="240">
        <f t="shared" si="24"/>
        <v>472048.922</v>
      </c>
      <c r="I23" s="206"/>
      <c r="J23" s="239">
        <f t="shared" ref="J23:O23" si="25">SUM(J6*49)</f>
        <v>667961.266</v>
      </c>
      <c r="K23" s="239">
        <f t="shared" si="25"/>
        <v>965382.0053</v>
      </c>
      <c r="L23" s="240">
        <f t="shared" si="25"/>
        <v>1402615.268</v>
      </c>
      <c r="M23" s="241">
        <f t="shared" si="25"/>
        <v>2013568.782</v>
      </c>
      <c r="N23" s="242">
        <f t="shared" si="25"/>
        <v>2805452.735</v>
      </c>
      <c r="O23" s="243">
        <f t="shared" si="25"/>
        <v>3946780.847</v>
      </c>
      <c r="P23" s="211">
        <f t="shared" si="22"/>
        <v>12834169.66</v>
      </c>
      <c r="Q23" s="228">
        <f t="shared" ref="Q23:R23" si="26">SUM(12*Q12*49)</f>
        <v>142084110.5</v>
      </c>
      <c r="R23" s="228">
        <f t="shared" si="26"/>
        <v>331529591.2</v>
      </c>
    </row>
    <row r="24">
      <c r="A24" s="244" t="s">
        <v>48</v>
      </c>
      <c r="B24" s="245">
        <v>1.0</v>
      </c>
      <c r="C24" s="246">
        <f t="shared" ref="C24:H24" si="27">SUM(C19:C23)</f>
        <v>102053.7285</v>
      </c>
      <c r="D24" s="247">
        <f t="shared" si="27"/>
        <v>284786.1855</v>
      </c>
      <c r="E24" s="247">
        <f t="shared" si="27"/>
        <v>690717.0487</v>
      </c>
      <c r="F24" s="247">
        <f t="shared" si="27"/>
        <v>1123111.533</v>
      </c>
      <c r="G24" s="247">
        <f t="shared" si="27"/>
        <v>2070489.01</v>
      </c>
      <c r="H24" s="248">
        <f t="shared" si="27"/>
        <v>3262093.163</v>
      </c>
      <c r="I24" s="249"/>
      <c r="J24" s="247">
        <f t="shared" ref="J24:O24" si="28">SUM(J19:J23)</f>
        <v>5043079.969</v>
      </c>
      <c r="K24" s="247">
        <f t="shared" si="28"/>
        <v>7048044.888</v>
      </c>
      <c r="L24" s="248">
        <f t="shared" si="28"/>
        <v>10618293.52</v>
      </c>
      <c r="M24" s="250">
        <f t="shared" si="28"/>
        <v>15950301.39</v>
      </c>
      <c r="N24" s="251">
        <f t="shared" si="28"/>
        <v>22170795.08</v>
      </c>
      <c r="O24" s="252">
        <f t="shared" si="28"/>
        <v>31966448.89</v>
      </c>
      <c r="P24" s="253">
        <f t="shared" si="22"/>
        <v>100330214.4</v>
      </c>
      <c r="Q24" s="254">
        <f t="shared" ref="Q24:R24" si="29">SUM(Q19:Q23)</f>
        <v>1522250155</v>
      </c>
      <c r="R24" s="254">
        <f t="shared" si="29"/>
        <v>5831024183</v>
      </c>
    </row>
    <row r="25">
      <c r="A25" s="255"/>
      <c r="B25" s="256"/>
      <c r="C25" s="257"/>
      <c r="D25" s="258"/>
      <c r="E25" s="258"/>
      <c r="F25" s="258"/>
      <c r="G25" s="258"/>
      <c r="H25" s="259"/>
      <c r="I25" s="260"/>
      <c r="J25" s="261"/>
      <c r="K25" s="258"/>
      <c r="L25" s="259"/>
      <c r="M25" s="262"/>
      <c r="N25" s="263"/>
      <c r="O25" s="264"/>
      <c r="P25" s="265"/>
      <c r="Q25" s="266"/>
      <c r="R25" s="267"/>
    </row>
    <row r="26">
      <c r="A26" s="268" t="s">
        <v>49</v>
      </c>
      <c r="B26" s="269"/>
      <c r="C26" s="270"/>
      <c r="D26" s="271"/>
      <c r="E26" s="272"/>
      <c r="F26" s="272"/>
      <c r="G26" s="272"/>
      <c r="H26" s="272"/>
      <c r="I26" s="273" t="s">
        <v>50</v>
      </c>
      <c r="J26" s="272"/>
      <c r="K26" s="272"/>
      <c r="L26" s="272"/>
      <c r="M26" s="274"/>
      <c r="N26" s="275"/>
      <c r="O26" s="276"/>
      <c r="P26" s="265"/>
      <c r="Q26" s="277"/>
      <c r="R26" s="277"/>
    </row>
    <row r="27">
      <c r="A27" s="278" t="s">
        <v>51</v>
      </c>
      <c r="B27" s="279">
        <f t="shared" ref="B27:B30" si="33">SUM(C27)</f>
        <v>66666.66667</v>
      </c>
      <c r="C27" s="280">
        <f>median(50000,Assumptions!B10,200000)</f>
        <v>66666.66667</v>
      </c>
      <c r="D27" s="281">
        <f t="shared" ref="D27:H27" si="30">SUM(C27)</f>
        <v>66666.66667</v>
      </c>
      <c r="E27" s="281">
        <f t="shared" si="30"/>
        <v>66666.66667</v>
      </c>
      <c r="F27" s="281">
        <f t="shared" si="30"/>
        <v>66666.66667</v>
      </c>
      <c r="G27" s="281">
        <f t="shared" si="30"/>
        <v>66666.66667</v>
      </c>
      <c r="H27" s="282">
        <f t="shared" si="30"/>
        <v>66666.66667</v>
      </c>
      <c r="I27" s="283">
        <f t="shared" ref="I27:I29" si="36">SUM(H27+(C27*3))</f>
        <v>266666.6667</v>
      </c>
      <c r="J27" s="284">
        <f>median(200000,Assumptions!F10+I27,800000)</f>
        <v>280000</v>
      </c>
      <c r="K27" s="282">
        <f t="shared" ref="K27:L27" si="31">SUM(J27)</f>
        <v>280000</v>
      </c>
      <c r="L27" s="281">
        <f t="shared" si="31"/>
        <v>280000</v>
      </c>
      <c r="M27" s="281">
        <f t="shared" ref="M27:O27" si="32">SUM(L27*4)</f>
        <v>1120000</v>
      </c>
      <c r="N27" s="281">
        <f t="shared" si="32"/>
        <v>4480000</v>
      </c>
      <c r="O27" s="285">
        <f t="shared" si="32"/>
        <v>17920000</v>
      </c>
      <c r="P27" s="286">
        <f t="shared" ref="P27:P32" si="38">SUM(B27:O27)</f>
        <v>25093333.33</v>
      </c>
      <c r="Q27" s="287">
        <f t="shared" ref="Q27:Q32" si="39">SUM(12*P27*2)</f>
        <v>602240000</v>
      </c>
      <c r="R27" s="287">
        <f>SUM(Q27)</f>
        <v>602240000</v>
      </c>
    </row>
    <row r="28">
      <c r="A28" s="278" t="s">
        <v>52</v>
      </c>
      <c r="B28" s="279">
        <f t="shared" si="33"/>
        <v>66666.66667</v>
      </c>
      <c r="C28" s="280">
        <f>MEDIAN(50000,Assumptions!B11, 300000)</f>
        <v>66666.66667</v>
      </c>
      <c r="D28" s="281">
        <f t="shared" ref="D28:E28" si="34">SUM(C28)</f>
        <v>66666.66667</v>
      </c>
      <c r="E28" s="281">
        <f t="shared" si="34"/>
        <v>66666.66667</v>
      </c>
      <c r="F28" s="281">
        <f t="shared" ref="F28:F29" si="41">SUM(E28*1.5)</f>
        <v>100000</v>
      </c>
      <c r="G28" s="281">
        <f t="shared" ref="G28:H28" si="35">SUM(F28)</f>
        <v>100000</v>
      </c>
      <c r="H28" s="282">
        <f t="shared" si="35"/>
        <v>100000</v>
      </c>
      <c r="I28" s="283">
        <f t="shared" si="36"/>
        <v>300000</v>
      </c>
      <c r="J28" s="284">
        <f>MEDIAN(150000,Assumptions!F11+I28, 900000)</f>
        <v>313333.3333</v>
      </c>
      <c r="K28" s="282">
        <f t="shared" ref="K28:K30" si="43">SUM(J28)</f>
        <v>313333.3333</v>
      </c>
      <c r="L28" s="281">
        <f t="shared" ref="L28:N28" si="37">SUM(K28*1.5)</f>
        <v>470000</v>
      </c>
      <c r="M28" s="281">
        <f t="shared" si="37"/>
        <v>705000</v>
      </c>
      <c r="N28" s="281">
        <f t="shared" si="37"/>
        <v>1057500</v>
      </c>
      <c r="O28" s="285">
        <f t="shared" ref="O28:O30" si="45">SUM(N28)</f>
        <v>1057500</v>
      </c>
      <c r="P28" s="286">
        <f t="shared" si="38"/>
        <v>4783333.333</v>
      </c>
      <c r="Q28" s="287">
        <f t="shared" si="39"/>
        <v>114800000</v>
      </c>
      <c r="R28" s="287">
        <f t="shared" ref="R28:R32" si="46">SUM(Q28*2)</f>
        <v>229600000</v>
      </c>
    </row>
    <row r="29">
      <c r="A29" s="288" t="s">
        <v>53</v>
      </c>
      <c r="B29" s="289">
        <f t="shared" si="33"/>
        <v>66666.66667</v>
      </c>
      <c r="C29" s="290">
        <f>MIN(500000,Assumptions!B12)</f>
        <v>66666.66667</v>
      </c>
      <c r="D29" s="291">
        <f t="shared" ref="D29:E29" si="40">SUM(C29)</f>
        <v>66666.66667</v>
      </c>
      <c r="E29" s="291">
        <f t="shared" si="40"/>
        <v>66666.66667</v>
      </c>
      <c r="F29" s="281">
        <f t="shared" si="41"/>
        <v>100000</v>
      </c>
      <c r="G29" s="281">
        <f t="shared" ref="G29:H29" si="42">SUM(F29)</f>
        <v>100000</v>
      </c>
      <c r="H29" s="282">
        <f t="shared" si="42"/>
        <v>100000</v>
      </c>
      <c r="I29" s="283">
        <f t="shared" si="36"/>
        <v>300000</v>
      </c>
      <c r="J29" s="284">
        <f>MEDIAN(150000,Assumptions!F12+I29, 900000)</f>
        <v>313333.3333</v>
      </c>
      <c r="K29" s="292">
        <f t="shared" si="43"/>
        <v>313333.3333</v>
      </c>
      <c r="L29" s="291">
        <f t="shared" ref="L29:N29" si="44">SUM(K29*1.5)</f>
        <v>470000</v>
      </c>
      <c r="M29" s="291">
        <f t="shared" si="44"/>
        <v>705000</v>
      </c>
      <c r="N29" s="291">
        <f t="shared" si="44"/>
        <v>1057500</v>
      </c>
      <c r="O29" s="293">
        <f t="shared" si="45"/>
        <v>1057500</v>
      </c>
      <c r="P29" s="294">
        <f t="shared" si="38"/>
        <v>4783333.333</v>
      </c>
      <c r="Q29" s="295">
        <f t="shared" si="39"/>
        <v>114800000</v>
      </c>
      <c r="R29" s="295">
        <f t="shared" si="46"/>
        <v>229600000</v>
      </c>
    </row>
    <row r="30">
      <c r="A30" s="296" t="s">
        <v>54</v>
      </c>
      <c r="B30" s="297">
        <f t="shared" si="33"/>
        <v>166666.6667</v>
      </c>
      <c r="C30" s="298">
        <f>SUM(Assumptions!B13)</f>
        <v>166666.6667</v>
      </c>
      <c r="D30" s="299">
        <f t="shared" ref="D30:E30" si="47">SUM(C30)</f>
        <v>166666.6667</v>
      </c>
      <c r="E30" s="299">
        <f t="shared" si="47"/>
        <v>166666.6667</v>
      </c>
      <c r="F30" s="299">
        <f>SUM(E30*2)</f>
        <v>333333.3333</v>
      </c>
      <c r="G30" s="299">
        <f t="shared" ref="G30:I30" si="48">SUM(F30)</f>
        <v>333333.3333</v>
      </c>
      <c r="H30" s="300">
        <f t="shared" si="48"/>
        <v>333333.3333</v>
      </c>
      <c r="I30" s="283">
        <f t="shared" si="48"/>
        <v>333333.3333</v>
      </c>
      <c r="J30" s="284">
        <f>MEDIAN(150000,Assumptions!H13, 1500000)</f>
        <v>366666.6667</v>
      </c>
      <c r="K30" s="300">
        <f t="shared" si="43"/>
        <v>366666.6667</v>
      </c>
      <c r="L30" s="301">
        <f t="shared" ref="L30:N30" si="49">SUM(K30*1.5)</f>
        <v>550000</v>
      </c>
      <c r="M30" s="301">
        <f t="shared" si="49"/>
        <v>825000</v>
      </c>
      <c r="N30" s="301">
        <f t="shared" si="49"/>
        <v>1237500</v>
      </c>
      <c r="O30" s="302">
        <f t="shared" si="45"/>
        <v>1237500</v>
      </c>
      <c r="P30" s="303">
        <f t="shared" si="38"/>
        <v>6583333.333</v>
      </c>
      <c r="Q30" s="304">
        <f t="shared" si="39"/>
        <v>158000000</v>
      </c>
      <c r="R30" s="304">
        <f t="shared" si="46"/>
        <v>316000000</v>
      </c>
    </row>
    <row r="31">
      <c r="A31" s="305" t="s">
        <v>55</v>
      </c>
      <c r="B31" s="306">
        <f>SUM('Customer Acquisition'!C60)</f>
        <v>1000</v>
      </c>
      <c r="C31" s="307">
        <f>SUM(B31*C13)</f>
        <v>158333.3333</v>
      </c>
      <c r="D31" s="308">
        <f>SUM(B31*D13)</f>
        <v>158333.3333</v>
      </c>
      <c r="E31" s="308">
        <f>SUM(B31*E13)</f>
        <v>448683.9914</v>
      </c>
      <c r="F31" s="308">
        <f>SUM(B31*F13)</f>
        <v>406220.6305</v>
      </c>
      <c r="G31" s="309">
        <f>SUM(B31*G13)</f>
        <v>338332.2613</v>
      </c>
      <c r="H31" s="310">
        <f>SUM(B31*H13)</f>
        <v>349548.3649</v>
      </c>
      <c r="I31" s="283">
        <f>SUM(B31*I13)</f>
        <v>474316.8321</v>
      </c>
      <c r="J31" s="311">
        <f>SUM(Assumptions!H14)</f>
        <v>505983.4988</v>
      </c>
      <c r="K31" s="312">
        <f>SUM(B31*K13)</f>
        <v>656701.3964</v>
      </c>
      <c r="L31" s="312">
        <f>SUM(B31*L13)</f>
        <v>2503142</v>
      </c>
      <c r="M31" s="312">
        <f>SUM(B31*M13)</f>
        <v>2871785.749</v>
      </c>
      <c r="N31" s="312">
        <f>SUM(B31*N13)</f>
        <v>3365918.948</v>
      </c>
      <c r="O31" s="312">
        <f>SUM(B31*O13)</f>
        <v>4256392.263</v>
      </c>
      <c r="P31" s="313">
        <f t="shared" si="38"/>
        <v>16494692.6</v>
      </c>
      <c r="Q31" s="314">
        <f t="shared" si="39"/>
        <v>395872622.5</v>
      </c>
      <c r="R31" s="314">
        <f t="shared" si="46"/>
        <v>791745244.9</v>
      </c>
    </row>
    <row r="32">
      <c r="A32" s="315" t="s">
        <v>56</v>
      </c>
      <c r="B32" s="316">
        <f t="shared" ref="B32:E32" si="50">SUM(B43)</f>
        <v>300000</v>
      </c>
      <c r="C32" s="317">
        <f t="shared" si="50"/>
        <v>300000</v>
      </c>
      <c r="D32" s="318">
        <f t="shared" si="50"/>
        <v>300000</v>
      </c>
      <c r="E32" s="318">
        <f t="shared" si="50"/>
        <v>300000</v>
      </c>
      <c r="F32" s="318">
        <f t="shared" ref="F32:I32" si="51">SUM(E43+E39)</f>
        <v>795774.5943</v>
      </c>
      <c r="G32" s="318">
        <f t="shared" si="51"/>
        <v>1019995.712</v>
      </c>
      <c r="H32" s="319">
        <f t="shared" si="51"/>
        <v>1064860.126</v>
      </c>
      <c r="I32" s="283">
        <f t="shared" si="51"/>
        <v>1879917.494</v>
      </c>
      <c r="J32" s="311">
        <f>SUM(Assumptions!H15)</f>
        <v>1939917.494</v>
      </c>
      <c r="K32" s="319">
        <f t="shared" ref="K32:O32" si="52">SUM(J43+J39)</f>
        <v>2851840.315</v>
      </c>
      <c r="L32" s="320">
        <f t="shared" si="52"/>
        <v>3984925.237</v>
      </c>
      <c r="M32" s="320">
        <f t="shared" si="52"/>
        <v>5165038.376</v>
      </c>
      <c r="N32" s="320">
        <f t="shared" si="52"/>
        <v>7444277.01</v>
      </c>
      <c r="O32" s="321">
        <f t="shared" si="52"/>
        <v>9208326.573</v>
      </c>
      <c r="P32" s="322">
        <f t="shared" si="38"/>
        <v>36554872.93</v>
      </c>
      <c r="Q32" s="323">
        <f t="shared" si="39"/>
        <v>877316950.4</v>
      </c>
      <c r="R32" s="323">
        <f t="shared" si="46"/>
        <v>1754633901</v>
      </c>
    </row>
    <row r="33">
      <c r="A33" s="324"/>
      <c r="B33" s="324"/>
      <c r="C33" s="325"/>
      <c r="D33" s="326"/>
      <c r="E33" s="326"/>
      <c r="F33" s="326"/>
      <c r="G33" s="326"/>
      <c r="H33" s="326"/>
      <c r="I33" s="327"/>
      <c r="J33" s="326"/>
      <c r="K33" s="326"/>
      <c r="L33" s="326"/>
      <c r="M33" s="328"/>
      <c r="N33" s="329"/>
      <c r="O33" s="330"/>
      <c r="P33" s="265"/>
      <c r="Q33" s="331"/>
      <c r="R33" s="331"/>
    </row>
    <row r="34">
      <c r="A34" s="332" t="s">
        <v>57</v>
      </c>
      <c r="B34" s="333">
        <f t="shared" ref="B34:H34" si="53">SUM(B27:B32)</f>
        <v>667666.6667</v>
      </c>
      <c r="C34" s="334">
        <f t="shared" si="53"/>
        <v>825000</v>
      </c>
      <c r="D34" s="333">
        <f t="shared" si="53"/>
        <v>825000</v>
      </c>
      <c r="E34" s="333">
        <f t="shared" si="53"/>
        <v>1115350.658</v>
      </c>
      <c r="F34" s="333">
        <f t="shared" si="53"/>
        <v>1801995.225</v>
      </c>
      <c r="G34" s="333">
        <f t="shared" si="53"/>
        <v>1958327.973</v>
      </c>
      <c r="H34" s="333">
        <f t="shared" si="53"/>
        <v>2014408.491</v>
      </c>
      <c r="I34" s="335"/>
      <c r="J34" s="333">
        <f t="shared" ref="J34:P34" si="54">SUM(J27:J32)</f>
        <v>3719234.326</v>
      </c>
      <c r="K34" s="333">
        <f t="shared" si="54"/>
        <v>4781875.045</v>
      </c>
      <c r="L34" s="333">
        <f t="shared" si="54"/>
        <v>8258067.237</v>
      </c>
      <c r="M34" s="336">
        <f t="shared" si="54"/>
        <v>11391824.12</v>
      </c>
      <c r="N34" s="337">
        <f t="shared" si="54"/>
        <v>18642695.96</v>
      </c>
      <c r="O34" s="338">
        <f t="shared" si="54"/>
        <v>34737218.84</v>
      </c>
      <c r="P34" s="339">
        <f t="shared" si="54"/>
        <v>94292898.87</v>
      </c>
      <c r="Q34" s="340">
        <f t="shared" ref="Q34:R34" si="55">SUM(Q30)</f>
        <v>158000000</v>
      </c>
      <c r="R34" s="340">
        <f t="shared" si="55"/>
        <v>316000000</v>
      </c>
    </row>
    <row r="35">
      <c r="A35" s="341" t="s">
        <v>58</v>
      </c>
      <c r="B35" s="342">
        <f t="shared" ref="B35:H35" si="56">SUM(B24-B34)</f>
        <v>-667665.6667</v>
      </c>
      <c r="C35" s="343">
        <f t="shared" si="56"/>
        <v>-722946.2715</v>
      </c>
      <c r="D35" s="342">
        <f t="shared" si="56"/>
        <v>-540213.8145</v>
      </c>
      <c r="E35" s="342">
        <f t="shared" si="56"/>
        <v>-424633.6093</v>
      </c>
      <c r="F35" s="342">
        <f t="shared" si="56"/>
        <v>-678883.6917</v>
      </c>
      <c r="G35" s="342">
        <f t="shared" si="56"/>
        <v>112161.0364</v>
      </c>
      <c r="H35" s="342">
        <f t="shared" si="56"/>
        <v>1247684.672</v>
      </c>
      <c r="I35" s="344"/>
      <c r="J35" s="342">
        <f t="shared" ref="J35:R35" si="57">SUM(J24-J34)</f>
        <v>1323845.643</v>
      </c>
      <c r="K35" s="342">
        <f t="shared" si="57"/>
        <v>2266169.843</v>
      </c>
      <c r="L35" s="342">
        <f t="shared" si="57"/>
        <v>2360226.278</v>
      </c>
      <c r="M35" s="345">
        <f t="shared" si="57"/>
        <v>4558477.269</v>
      </c>
      <c r="N35" s="346">
        <f t="shared" si="57"/>
        <v>3528099.125</v>
      </c>
      <c r="O35" s="347">
        <f t="shared" si="57"/>
        <v>-2770769.945</v>
      </c>
      <c r="P35" s="348">
        <f t="shared" si="57"/>
        <v>6037315.542</v>
      </c>
      <c r="Q35" s="349">
        <f t="shared" si="57"/>
        <v>1364250155</v>
      </c>
      <c r="R35" s="349">
        <f t="shared" si="57"/>
        <v>5515024183</v>
      </c>
    </row>
    <row r="36">
      <c r="A36" s="324"/>
      <c r="B36" s="324"/>
      <c r="C36" s="270"/>
      <c r="D36" s="271"/>
      <c r="E36" s="272"/>
      <c r="F36" s="272"/>
      <c r="G36" s="272"/>
      <c r="H36" s="272"/>
      <c r="I36" s="327"/>
      <c r="J36" s="272"/>
      <c r="K36" s="272"/>
      <c r="L36" s="272"/>
      <c r="M36" s="274"/>
      <c r="N36" s="275"/>
      <c r="O36" s="276"/>
      <c r="P36" s="265"/>
      <c r="Q36" s="277"/>
      <c r="R36" s="277"/>
    </row>
    <row r="37">
      <c r="A37" s="350" t="s">
        <v>59</v>
      </c>
      <c r="B37" s="351">
        <f>SUM((B24+Assumptions!B8)-B34)</f>
        <v>4332334.333</v>
      </c>
      <c r="C37" s="352">
        <f>SUM((C24+Assumptions!B8)-C34)</f>
        <v>4277053.729</v>
      </c>
      <c r="D37" s="351">
        <f>SUM(((D24+Assumptions!C8)-D34)+C37)</f>
        <v>3736839.914</v>
      </c>
      <c r="E37" s="351">
        <f>SUM(((E24+Assumptions!H26)-E34)+D37)</f>
        <v>3312206.305</v>
      </c>
      <c r="F37" s="351">
        <f>SUM(((F24+Assumptions!I26)-F34)+E37)</f>
        <v>2633322.613</v>
      </c>
      <c r="G37" s="351">
        <f>SUM(((G24+Assumptions!J26)-G34)+F37)</f>
        <v>2745483.649</v>
      </c>
      <c r="H37" s="351">
        <f>SUM(((H24+Assumptions!G8)-H34)+G37)</f>
        <v>3993168.321</v>
      </c>
      <c r="I37" s="344">
        <f>SUM(H37+Assumptions!F6)</f>
        <v>4493168.321</v>
      </c>
      <c r="J37" s="351">
        <f>SUM(((J24+Assumptions!H8)-J34)+I37)</f>
        <v>5817013.964</v>
      </c>
      <c r="K37" s="351">
        <f>SUM(((K24+Assumptions!K8)-K34)+J37)</f>
        <v>8083183.807</v>
      </c>
      <c r="L37" s="351">
        <f>SUM(((L24+Assumptions!L8)-L34)+K37)</f>
        <v>10443410.09</v>
      </c>
      <c r="M37" s="353">
        <f>SUM(((M24+Assumptions!M8)-M34)+L37)</f>
        <v>15001887.35</v>
      </c>
      <c r="N37" s="354">
        <f>SUM(((N24+Assumptions!N8)-N34)+M37)</f>
        <v>18529986.48</v>
      </c>
      <c r="O37" s="355">
        <f>SUM(((O24+Assumptions!O8)-O34)+N37)</f>
        <v>15759216.53</v>
      </c>
      <c r="P37" s="356">
        <f>SUM(((P24+Assumptions!P8)-P34)+O37)</f>
        <v>21796532.08</v>
      </c>
      <c r="Q37" s="357">
        <f>SUM(((Q24+Assumptions!Q8)-Q34)+P37)</f>
        <v>1386046687</v>
      </c>
      <c r="R37" s="357">
        <f>SUM(((R24+Assumptions!R8)-R34)+Q37)</f>
        <v>6901070870</v>
      </c>
    </row>
    <row r="38">
      <c r="A38" s="358" t="s">
        <v>60</v>
      </c>
      <c r="B38" s="359"/>
      <c r="C38" s="360"/>
      <c r="D38" s="359">
        <f>SUM(D37-Assumptions!B9)</f>
        <v>2903506.581</v>
      </c>
      <c r="E38" s="359">
        <f>SUM(E37-Assumptions!B9)</f>
        <v>2478872.971</v>
      </c>
      <c r="F38" s="359">
        <f>SUM(F37-Assumptions!B9)</f>
        <v>1799989.28</v>
      </c>
      <c r="G38" s="359">
        <f>SUM(G37-Assumptions!B9)</f>
        <v>1912150.316</v>
      </c>
      <c r="H38" s="359">
        <f>SUM(H37-Assumptions!B9)</f>
        <v>3159834.988</v>
      </c>
      <c r="I38" s="344">
        <f>SUM(H38)</f>
        <v>3159834.988</v>
      </c>
      <c r="J38" s="359">
        <f>SUM(J37-Assumptions!B9)</f>
        <v>4983680.631</v>
      </c>
      <c r="K38" s="359">
        <f>SUM(K37-Assumptions!B9)</f>
        <v>7249850.474</v>
      </c>
      <c r="L38" s="359">
        <f>SUM(L37-Assumptions!B9)</f>
        <v>9610076.752</v>
      </c>
      <c r="M38" s="361">
        <f>SUM(M37-Assumptions!B9)</f>
        <v>14168554.02</v>
      </c>
      <c r="N38" s="362">
        <f>SUM(N37-Assumptions!B9)</f>
        <v>17696653.15</v>
      </c>
      <c r="O38" s="363">
        <f>SUM(O37-Assumptions!B9)</f>
        <v>14925883.2</v>
      </c>
      <c r="P38" s="364">
        <f t="shared" ref="P38:R38" si="58">SUM(P37-50000000)</f>
        <v>-28203467.92</v>
      </c>
      <c r="Q38" s="365">
        <f t="shared" si="58"/>
        <v>1336046687</v>
      </c>
      <c r="R38" s="365">
        <f t="shared" si="58"/>
        <v>6851070870</v>
      </c>
    </row>
    <row r="39">
      <c r="A39" s="89" t="s">
        <v>61</v>
      </c>
      <c r="B39" s="366"/>
      <c r="C39" s="334"/>
      <c r="D39" s="333"/>
      <c r="E39" s="333">
        <f t="shared" ref="E39:O39" si="59">MAX(0,E43*E45)</f>
        <v>495774.5943</v>
      </c>
      <c r="F39" s="333">
        <f t="shared" si="59"/>
        <v>719995.7119</v>
      </c>
      <c r="G39" s="333">
        <f t="shared" si="59"/>
        <v>764860.1264</v>
      </c>
      <c r="H39" s="333">
        <f t="shared" si="59"/>
        <v>1579917.494</v>
      </c>
      <c r="I39" s="333">
        <f t="shared" si="59"/>
        <v>1579917.494</v>
      </c>
      <c r="J39" s="333">
        <f t="shared" si="59"/>
        <v>2491840.315</v>
      </c>
      <c r="K39" s="333">
        <f t="shared" si="59"/>
        <v>3624925.237</v>
      </c>
      <c r="L39" s="333">
        <f t="shared" si="59"/>
        <v>4805038.376</v>
      </c>
      <c r="M39" s="336">
        <f t="shared" si="59"/>
        <v>7084277.01</v>
      </c>
      <c r="N39" s="337">
        <f t="shared" si="59"/>
        <v>8848326.573</v>
      </c>
      <c r="O39" s="338">
        <f t="shared" si="59"/>
        <v>7462941.601</v>
      </c>
      <c r="P39" s="367">
        <f t="shared" ref="P39:R39" si="60">SUM(P43*P45)</f>
        <v>-19742427.55</v>
      </c>
      <c r="Q39" s="340">
        <f t="shared" si="60"/>
        <v>935232680.8</v>
      </c>
      <c r="R39" s="340">
        <f t="shared" si="60"/>
        <v>4795749609</v>
      </c>
    </row>
    <row r="40">
      <c r="A40" s="89" t="s">
        <v>62</v>
      </c>
      <c r="B40" s="324"/>
      <c r="C40" s="368"/>
      <c r="D40" s="333">
        <f t="shared" ref="D40:O40" si="61">MAX(0,D48*D50)</f>
        <v>290350.6581</v>
      </c>
      <c r="E40" s="333">
        <f t="shared" si="61"/>
        <v>247887.2971</v>
      </c>
      <c r="F40" s="333">
        <f t="shared" si="61"/>
        <v>179998.928</v>
      </c>
      <c r="G40" s="333">
        <f t="shared" si="61"/>
        <v>191215.0316</v>
      </c>
      <c r="H40" s="333">
        <f t="shared" si="61"/>
        <v>315983.4988</v>
      </c>
      <c r="I40" s="333">
        <f t="shared" si="61"/>
        <v>315983.4988</v>
      </c>
      <c r="J40" s="333">
        <f t="shared" si="61"/>
        <v>498368.0631</v>
      </c>
      <c r="K40" s="333">
        <f t="shared" si="61"/>
        <v>724985.0474</v>
      </c>
      <c r="L40" s="333">
        <f t="shared" si="61"/>
        <v>961007.6752</v>
      </c>
      <c r="M40" s="333">
        <f t="shared" si="61"/>
        <v>1416855.402</v>
      </c>
      <c r="N40" s="333">
        <f t="shared" si="61"/>
        <v>1769665.315</v>
      </c>
      <c r="O40" s="333">
        <f t="shared" si="61"/>
        <v>1492588.32</v>
      </c>
      <c r="P40" s="369"/>
      <c r="Q40" s="370"/>
      <c r="R40" s="370"/>
    </row>
    <row r="41">
      <c r="A41" s="371" t="s">
        <v>63</v>
      </c>
      <c r="B41" s="372">
        <f t="shared" ref="B41:D41" si="62">SUM(B37-(B38*B46))</f>
        <v>4332334.333</v>
      </c>
      <c r="C41" s="373">
        <f t="shared" si="62"/>
        <v>4277053.729</v>
      </c>
      <c r="D41" s="372">
        <f t="shared" si="62"/>
        <v>3736839.914</v>
      </c>
      <c r="E41" s="372">
        <f t="shared" ref="E41:H41" si="63">SUM((D41+E24)-E34)</f>
        <v>3312206.305</v>
      </c>
      <c r="F41" s="372">
        <f t="shared" si="63"/>
        <v>2633322.613</v>
      </c>
      <c r="G41" s="372">
        <f t="shared" si="63"/>
        <v>2745483.649</v>
      </c>
      <c r="H41" s="372">
        <f t="shared" si="63"/>
        <v>3993168.321</v>
      </c>
      <c r="I41" s="374">
        <f>SUM(H41+Assumptions!F6)</f>
        <v>4493168.321</v>
      </c>
      <c r="J41" s="372">
        <f t="shared" ref="J41:O41" si="64">SUM((I41+J24)-J34)</f>
        <v>5817013.964</v>
      </c>
      <c r="K41" s="372">
        <f t="shared" si="64"/>
        <v>8083183.807</v>
      </c>
      <c r="L41" s="372">
        <f t="shared" si="64"/>
        <v>10443410.09</v>
      </c>
      <c r="M41" s="375">
        <f t="shared" si="64"/>
        <v>15001887.35</v>
      </c>
      <c r="N41" s="376">
        <f t="shared" si="64"/>
        <v>18529986.48</v>
      </c>
      <c r="O41" s="377">
        <f t="shared" si="64"/>
        <v>15759216.53</v>
      </c>
      <c r="P41" s="378"/>
      <c r="Q41" s="379"/>
      <c r="R41" s="379"/>
    </row>
    <row r="42">
      <c r="A42" s="380"/>
      <c r="B42" s="324"/>
      <c r="C42" s="368"/>
      <c r="D42" s="324"/>
      <c r="E42" s="324"/>
      <c r="F42" s="324"/>
      <c r="G42" s="324"/>
      <c r="H42" s="324"/>
      <c r="I42" s="381"/>
      <c r="J42" s="324"/>
      <c r="K42" s="324"/>
      <c r="L42" s="324"/>
      <c r="M42" s="382"/>
      <c r="N42" s="383"/>
      <c r="O42" s="384"/>
      <c r="P42" s="369"/>
      <c r="Q42" s="370"/>
      <c r="R42" s="370"/>
    </row>
    <row r="43">
      <c r="A43" s="385" t="s">
        <v>64</v>
      </c>
      <c r="B43" s="386">
        <f>SUM('Customer Acquisition'!B38)</f>
        <v>300000</v>
      </c>
      <c r="C43" s="387">
        <f t="shared" ref="C43:H43" si="65">SUM(B43)</f>
        <v>300000</v>
      </c>
      <c r="D43" s="386">
        <f t="shared" si="65"/>
        <v>300000</v>
      </c>
      <c r="E43" s="386">
        <f t="shared" si="65"/>
        <v>300000</v>
      </c>
      <c r="F43" s="386">
        <f t="shared" si="65"/>
        <v>300000</v>
      </c>
      <c r="G43" s="386">
        <f t="shared" si="65"/>
        <v>300000</v>
      </c>
      <c r="H43" s="386">
        <f t="shared" si="65"/>
        <v>300000</v>
      </c>
      <c r="I43" s="133">
        <f>SUM(H43+Assumptions!F15)</f>
        <v>360000</v>
      </c>
      <c r="J43" s="386">
        <f t="shared" ref="J43:R43" si="66">SUM(I43)</f>
        <v>360000</v>
      </c>
      <c r="K43" s="386">
        <f t="shared" si="66"/>
        <v>360000</v>
      </c>
      <c r="L43" s="386">
        <f t="shared" si="66"/>
        <v>360000</v>
      </c>
      <c r="M43" s="388">
        <f t="shared" si="66"/>
        <v>360000</v>
      </c>
      <c r="N43" s="389">
        <f t="shared" si="66"/>
        <v>360000</v>
      </c>
      <c r="O43" s="390">
        <f t="shared" si="66"/>
        <v>360000</v>
      </c>
      <c r="P43" s="391">
        <f t="shared" si="66"/>
        <v>360000</v>
      </c>
      <c r="Q43" s="392">
        <f t="shared" si="66"/>
        <v>360000</v>
      </c>
      <c r="R43" s="392">
        <f t="shared" si="66"/>
        <v>360000</v>
      </c>
    </row>
    <row r="44">
      <c r="A44" s="393"/>
      <c r="B44" s="394">
        <f t="shared" ref="B44:O44" si="67">SUM(1+(B45))</f>
        <v>1</v>
      </c>
      <c r="C44" s="395">
        <f t="shared" si="67"/>
        <v>1</v>
      </c>
      <c r="D44" s="394">
        <f t="shared" si="67"/>
        <v>8.742684215</v>
      </c>
      <c r="E44" s="394">
        <f t="shared" si="67"/>
        <v>2.652581981</v>
      </c>
      <c r="F44" s="394">
        <f t="shared" si="67"/>
        <v>3.399985706</v>
      </c>
      <c r="G44" s="394">
        <f t="shared" si="67"/>
        <v>3.549533755</v>
      </c>
      <c r="H44" s="394">
        <f t="shared" si="67"/>
        <v>6.266391646</v>
      </c>
      <c r="I44" s="396">
        <f t="shared" si="67"/>
        <v>5.388659705</v>
      </c>
      <c r="J44" s="394">
        <f t="shared" si="67"/>
        <v>7.921778654</v>
      </c>
      <c r="K44" s="394">
        <f t="shared" si="67"/>
        <v>11.06923677</v>
      </c>
      <c r="L44" s="394">
        <f t="shared" si="67"/>
        <v>14.34732882</v>
      </c>
      <c r="M44" s="397">
        <f t="shared" si="67"/>
        <v>20.67854725</v>
      </c>
      <c r="N44" s="398">
        <f t="shared" si="67"/>
        <v>25.57868493</v>
      </c>
      <c r="O44" s="399">
        <f t="shared" si="67"/>
        <v>21.73039334</v>
      </c>
      <c r="P44" s="400"/>
      <c r="Q44" s="401"/>
      <c r="R44" s="401"/>
    </row>
    <row r="45">
      <c r="A45" s="393" t="s">
        <v>65</v>
      </c>
      <c r="B45" s="394">
        <f t="shared" ref="B45:D45" si="68">SUM((B38*0.8)/B43)</f>
        <v>0</v>
      </c>
      <c r="C45" s="395">
        <f t="shared" si="68"/>
        <v>0</v>
      </c>
      <c r="D45" s="394">
        <f t="shared" si="68"/>
        <v>7.742684215</v>
      </c>
      <c r="E45" s="394">
        <f t="shared" ref="E45:O45" si="69">max(0,(E38*E46)/E43)</f>
        <v>1.652581981</v>
      </c>
      <c r="F45" s="394">
        <f t="shared" si="69"/>
        <v>2.399985706</v>
      </c>
      <c r="G45" s="394">
        <f t="shared" si="69"/>
        <v>2.549533755</v>
      </c>
      <c r="H45" s="394">
        <f t="shared" si="69"/>
        <v>5.266391646</v>
      </c>
      <c r="I45" s="396">
        <f t="shared" si="69"/>
        <v>4.388659705</v>
      </c>
      <c r="J45" s="394">
        <f t="shared" si="69"/>
        <v>6.921778654</v>
      </c>
      <c r="K45" s="394">
        <f t="shared" si="69"/>
        <v>10.06923677</v>
      </c>
      <c r="L45" s="394">
        <f t="shared" si="69"/>
        <v>13.34732882</v>
      </c>
      <c r="M45" s="397">
        <f t="shared" si="69"/>
        <v>19.67854725</v>
      </c>
      <c r="N45" s="398">
        <f t="shared" si="69"/>
        <v>24.57868493</v>
      </c>
      <c r="O45" s="399">
        <f t="shared" si="69"/>
        <v>20.73039334</v>
      </c>
      <c r="P45" s="400">
        <f t="shared" ref="P45:R45" si="70">SUM((P38*0.7)/P43)</f>
        <v>-54.84007652</v>
      </c>
      <c r="Q45" s="401">
        <f t="shared" si="70"/>
        <v>2597.868558</v>
      </c>
      <c r="R45" s="401">
        <f t="shared" si="70"/>
        <v>13321.52669</v>
      </c>
    </row>
    <row r="46">
      <c r="A46" s="402" t="s">
        <v>66</v>
      </c>
      <c r="B46" s="403"/>
      <c r="C46" s="404"/>
      <c r="D46" s="403"/>
      <c r="E46" s="405">
        <v>0.2</v>
      </c>
      <c r="F46" s="405">
        <v>0.4</v>
      </c>
      <c r="G46" s="405">
        <v>0.4</v>
      </c>
      <c r="H46" s="405">
        <v>0.5</v>
      </c>
      <c r="I46" s="406">
        <v>0.5</v>
      </c>
      <c r="J46" s="405">
        <v>0.5</v>
      </c>
      <c r="K46" s="405">
        <v>0.5</v>
      </c>
      <c r="L46" s="405">
        <v>0.5</v>
      </c>
      <c r="M46" s="407">
        <v>0.5</v>
      </c>
      <c r="N46" s="408">
        <v>0.5</v>
      </c>
      <c r="O46" s="409">
        <v>0.5</v>
      </c>
      <c r="P46" s="410"/>
      <c r="Q46" s="411"/>
      <c r="R46" s="411"/>
    </row>
    <row r="47">
      <c r="A47" s="412"/>
      <c r="B47" s="413"/>
      <c r="C47" s="414"/>
      <c r="D47" s="413"/>
      <c r="E47" s="413"/>
      <c r="F47" s="413"/>
      <c r="G47" s="413"/>
      <c r="H47" s="413"/>
      <c r="I47" s="415"/>
      <c r="J47" s="413"/>
      <c r="K47" s="413"/>
      <c r="L47" s="413"/>
      <c r="M47" s="413"/>
      <c r="N47" s="413"/>
      <c r="O47" s="413"/>
      <c r="P47" s="416"/>
      <c r="Q47" s="417"/>
      <c r="R47" s="417"/>
    </row>
    <row r="48">
      <c r="A48" s="418" t="s">
        <v>67</v>
      </c>
      <c r="B48" s="419">
        <f>SUM(Assumptions!B14)</f>
        <v>158333.3333</v>
      </c>
      <c r="C48" s="419">
        <f t="shared" ref="C48:O48" si="71">SUM(B48)</f>
        <v>158333.3333</v>
      </c>
      <c r="D48" s="419">
        <f t="shared" si="71"/>
        <v>158333.3333</v>
      </c>
      <c r="E48" s="419">
        <f t="shared" si="71"/>
        <v>158333.3333</v>
      </c>
      <c r="F48" s="419">
        <f t="shared" si="71"/>
        <v>158333.3333</v>
      </c>
      <c r="G48" s="419">
        <f t="shared" si="71"/>
        <v>158333.3333</v>
      </c>
      <c r="H48" s="419">
        <f t="shared" si="71"/>
        <v>158333.3333</v>
      </c>
      <c r="I48" s="420">
        <f t="shared" si="71"/>
        <v>158333.3333</v>
      </c>
      <c r="J48" s="419">
        <f t="shared" si="71"/>
        <v>158333.3333</v>
      </c>
      <c r="K48" s="419">
        <f t="shared" si="71"/>
        <v>158333.3333</v>
      </c>
      <c r="L48" s="419">
        <f t="shared" si="71"/>
        <v>158333.3333</v>
      </c>
      <c r="M48" s="419">
        <f t="shared" si="71"/>
        <v>158333.3333</v>
      </c>
      <c r="N48" s="419">
        <f t="shared" si="71"/>
        <v>158333.3333</v>
      </c>
      <c r="O48" s="419">
        <f t="shared" si="71"/>
        <v>158333.3333</v>
      </c>
      <c r="P48" s="421"/>
      <c r="Q48" s="422"/>
      <c r="R48" s="422"/>
    </row>
    <row r="49">
      <c r="A49" s="423"/>
      <c r="B49" s="424">
        <f t="shared" ref="B49:O49" si="72">SUM(1+B50)</f>
        <v>1</v>
      </c>
      <c r="C49" s="424">
        <f t="shared" si="72"/>
        <v>1</v>
      </c>
      <c r="D49" s="424">
        <f t="shared" si="72"/>
        <v>2.83379363</v>
      </c>
      <c r="E49" s="424">
        <f t="shared" si="72"/>
        <v>2.565603982</v>
      </c>
      <c r="F49" s="424">
        <f t="shared" si="72"/>
        <v>2.136835335</v>
      </c>
      <c r="G49" s="424">
        <f t="shared" si="72"/>
        <v>2.207673884</v>
      </c>
      <c r="H49" s="424">
        <f t="shared" si="72"/>
        <v>2.995685255</v>
      </c>
      <c r="I49" s="425">
        <f t="shared" si="72"/>
        <v>2.995685255</v>
      </c>
      <c r="J49" s="424">
        <f t="shared" si="72"/>
        <v>4.147587767</v>
      </c>
      <c r="K49" s="424">
        <f t="shared" si="72"/>
        <v>5.578852931</v>
      </c>
      <c r="L49" s="424">
        <f t="shared" si="72"/>
        <v>7.069522159</v>
      </c>
      <c r="M49" s="424">
        <f t="shared" si="72"/>
        <v>9.948560434</v>
      </c>
      <c r="N49" s="424">
        <f t="shared" si="72"/>
        <v>12.17683357</v>
      </c>
      <c r="O49" s="424">
        <f t="shared" si="72"/>
        <v>10.4268736</v>
      </c>
      <c r="P49" s="426"/>
      <c r="Q49" s="427"/>
      <c r="R49" s="427"/>
    </row>
    <row r="50">
      <c r="A50" s="428" t="s">
        <v>68</v>
      </c>
      <c r="B50" s="429"/>
      <c r="C50" s="430"/>
      <c r="D50" s="431">
        <f t="shared" ref="D50:O50" si="73">max(0,(D38*D51)/D48)</f>
        <v>1.83379363</v>
      </c>
      <c r="E50" s="431">
        <f t="shared" si="73"/>
        <v>1.565603982</v>
      </c>
      <c r="F50" s="431">
        <f t="shared" si="73"/>
        <v>1.136835335</v>
      </c>
      <c r="G50" s="431">
        <f t="shared" si="73"/>
        <v>1.207673884</v>
      </c>
      <c r="H50" s="431">
        <f t="shared" si="73"/>
        <v>1.995685255</v>
      </c>
      <c r="I50" s="432">
        <f t="shared" si="73"/>
        <v>1.995685255</v>
      </c>
      <c r="J50" s="431">
        <f t="shared" si="73"/>
        <v>3.147587767</v>
      </c>
      <c r="K50" s="431">
        <f t="shared" si="73"/>
        <v>4.578852931</v>
      </c>
      <c r="L50" s="431">
        <f t="shared" si="73"/>
        <v>6.069522159</v>
      </c>
      <c r="M50" s="431">
        <f t="shared" si="73"/>
        <v>8.948560434</v>
      </c>
      <c r="N50" s="431">
        <f t="shared" si="73"/>
        <v>11.17683357</v>
      </c>
      <c r="O50" s="431">
        <f t="shared" si="73"/>
        <v>9.426873601</v>
      </c>
      <c r="P50" s="433"/>
      <c r="Q50" s="434"/>
      <c r="R50" s="434"/>
    </row>
    <row r="51">
      <c r="A51" s="435" t="s">
        <v>69</v>
      </c>
      <c r="B51" s="429"/>
      <c r="C51" s="430"/>
      <c r="D51" s="436">
        <v>0.1</v>
      </c>
      <c r="E51" s="436">
        <v>0.1</v>
      </c>
      <c r="F51" s="436">
        <v>0.1</v>
      </c>
      <c r="G51" s="436">
        <v>0.1</v>
      </c>
      <c r="H51" s="436">
        <v>0.1</v>
      </c>
      <c r="I51" s="437">
        <v>0.1</v>
      </c>
      <c r="J51" s="436">
        <v>0.1</v>
      </c>
      <c r="K51" s="436">
        <v>0.1</v>
      </c>
      <c r="L51" s="436">
        <v>0.1</v>
      </c>
      <c r="M51" s="438">
        <v>0.1</v>
      </c>
      <c r="N51" s="439">
        <v>0.1</v>
      </c>
      <c r="O51" s="440">
        <v>0.1</v>
      </c>
      <c r="P51" s="433"/>
      <c r="Q51" s="434"/>
      <c r="R51" s="434"/>
    </row>
    <row r="52">
      <c r="A52" s="380"/>
      <c r="B52" s="324"/>
      <c r="C52" s="368"/>
      <c r="D52" s="324"/>
      <c r="E52" s="324"/>
      <c r="F52" s="324"/>
      <c r="G52" s="324"/>
      <c r="H52" s="324"/>
      <c r="I52" s="381"/>
      <c r="J52" s="324"/>
      <c r="K52" s="324"/>
      <c r="L52" s="324"/>
      <c r="M52" s="382"/>
      <c r="N52" s="383"/>
      <c r="O52" s="384"/>
      <c r="P52" s="369"/>
      <c r="Q52" s="370"/>
      <c r="R52" s="370"/>
    </row>
    <row r="53">
      <c r="A53" s="380"/>
      <c r="B53" s="324"/>
      <c r="C53" s="368"/>
      <c r="D53" s="324"/>
      <c r="E53" s="324"/>
      <c r="F53" s="324"/>
      <c r="G53" s="324"/>
      <c r="H53" s="324"/>
      <c r="I53" s="381"/>
      <c r="J53" s="324"/>
      <c r="K53" s="324"/>
      <c r="L53" s="324"/>
      <c r="M53" s="382"/>
      <c r="N53" s="383"/>
      <c r="O53" s="384"/>
      <c r="P53" s="369"/>
      <c r="Q53" s="370"/>
      <c r="R53" s="370"/>
    </row>
    <row r="54">
      <c r="A54" s="441" t="s">
        <v>70</v>
      </c>
      <c r="B54" s="366"/>
      <c r="C54" s="442">
        <f t="shared" ref="C54:H54" si="74">SUM(C30,C28,C27,C29)</f>
        <v>366666.6667</v>
      </c>
      <c r="D54" s="366">
        <f t="shared" si="74"/>
        <v>366666.6667</v>
      </c>
      <c r="E54" s="366">
        <f t="shared" si="74"/>
        <v>366666.6667</v>
      </c>
      <c r="F54" s="366">
        <f t="shared" si="74"/>
        <v>600000</v>
      </c>
      <c r="G54" s="366">
        <f t="shared" si="74"/>
        <v>600000</v>
      </c>
      <c r="H54" s="366">
        <f t="shared" si="74"/>
        <v>600000</v>
      </c>
      <c r="I54" s="133"/>
      <c r="J54" s="366">
        <f t="shared" ref="J54:R54" si="75">SUM(J30,J28,J27,J29)</f>
        <v>1273333.333</v>
      </c>
      <c r="K54" s="366">
        <f t="shared" si="75"/>
        <v>1273333.333</v>
      </c>
      <c r="L54" s="366">
        <f t="shared" si="75"/>
        <v>1770000</v>
      </c>
      <c r="M54" s="443">
        <f t="shared" si="75"/>
        <v>3355000</v>
      </c>
      <c r="N54" s="444">
        <f t="shared" si="75"/>
        <v>7832500</v>
      </c>
      <c r="O54" s="445">
        <f t="shared" si="75"/>
        <v>21272500</v>
      </c>
      <c r="P54" s="446">
        <f t="shared" si="75"/>
        <v>41243333.33</v>
      </c>
      <c r="Q54" s="447">
        <f t="shared" si="75"/>
        <v>989840000</v>
      </c>
      <c r="R54" s="447">
        <f t="shared" si="75"/>
        <v>1377440000</v>
      </c>
    </row>
    <row r="55">
      <c r="A55" s="441" t="s">
        <v>71</v>
      </c>
      <c r="B55" s="366">
        <f t="shared" ref="B55:H55" si="76">SUM(B32,B31)</f>
        <v>301000</v>
      </c>
      <c r="C55" s="442">
        <f t="shared" si="76"/>
        <v>458333.3333</v>
      </c>
      <c r="D55" s="366">
        <f t="shared" si="76"/>
        <v>458333.3333</v>
      </c>
      <c r="E55" s="366">
        <f t="shared" si="76"/>
        <v>748683.9914</v>
      </c>
      <c r="F55" s="366">
        <f t="shared" si="76"/>
        <v>1201995.225</v>
      </c>
      <c r="G55" s="366">
        <f t="shared" si="76"/>
        <v>1358327.973</v>
      </c>
      <c r="H55" s="366">
        <f t="shared" si="76"/>
        <v>1414408.491</v>
      </c>
      <c r="I55" s="133"/>
      <c r="J55" s="366">
        <f t="shared" ref="J55:R55" si="77">SUM(J32,J31)</f>
        <v>2445900.993</v>
      </c>
      <c r="K55" s="366">
        <f t="shared" si="77"/>
        <v>3508541.712</v>
      </c>
      <c r="L55" s="366">
        <f t="shared" si="77"/>
        <v>6488067.237</v>
      </c>
      <c r="M55" s="443">
        <f t="shared" si="77"/>
        <v>8036824.124</v>
      </c>
      <c r="N55" s="444">
        <f t="shared" si="77"/>
        <v>10810195.96</v>
      </c>
      <c r="O55" s="445">
        <f t="shared" si="77"/>
        <v>13464718.84</v>
      </c>
      <c r="P55" s="446">
        <f t="shared" si="77"/>
        <v>53049565.53</v>
      </c>
      <c r="Q55" s="447">
        <f t="shared" si="77"/>
        <v>1273189573</v>
      </c>
      <c r="R55" s="447">
        <f t="shared" si="77"/>
        <v>2546379146</v>
      </c>
    </row>
    <row r="56">
      <c r="A56" s="448" t="s">
        <v>72</v>
      </c>
      <c r="B56" s="324"/>
      <c r="C56" s="449">
        <f t="shared" ref="C56:H56" si="78">SUM((C24-C34)/C24)</f>
        <v>-7.083977058</v>
      </c>
      <c r="D56" s="450">
        <f t="shared" si="78"/>
        <v>-1.89691018</v>
      </c>
      <c r="E56" s="450">
        <f t="shared" si="78"/>
        <v>-0.6147721561</v>
      </c>
      <c r="F56" s="450">
        <f t="shared" si="78"/>
        <v>-0.6044668511</v>
      </c>
      <c r="G56" s="450">
        <f t="shared" si="78"/>
        <v>0.0541712783</v>
      </c>
      <c r="H56" s="450">
        <f t="shared" si="78"/>
        <v>0.3824797789</v>
      </c>
      <c r="I56" s="451"/>
      <c r="J56" s="450">
        <f t="shared" ref="J56:R56" si="79">SUM((J24-J34)/J24)</f>
        <v>0.2625073668</v>
      </c>
      <c r="K56" s="450">
        <f t="shared" si="79"/>
        <v>0.3215316984</v>
      </c>
      <c r="L56" s="450">
        <f t="shared" si="79"/>
        <v>0.2222792462</v>
      </c>
      <c r="M56" s="452">
        <f t="shared" si="79"/>
        <v>0.2857925475</v>
      </c>
      <c r="N56" s="453">
        <f t="shared" si="79"/>
        <v>0.159132729</v>
      </c>
      <c r="O56" s="454">
        <f t="shared" si="79"/>
        <v>-0.08667743965</v>
      </c>
      <c r="P56" s="455">
        <f t="shared" si="79"/>
        <v>0.06017445071</v>
      </c>
      <c r="Q56" s="450">
        <f t="shared" si="79"/>
        <v>0.8962062842</v>
      </c>
      <c r="R56" s="450">
        <f t="shared" si="79"/>
        <v>0.9458071189</v>
      </c>
    </row>
    <row r="57">
      <c r="A57" s="456" t="s">
        <v>73</v>
      </c>
      <c r="B57" s="342"/>
      <c r="C57" s="457">
        <f t="shared" ref="C57:H57" si="80">SUM((C24-C34))</f>
        <v>-722946.2715</v>
      </c>
      <c r="D57" s="458">
        <f t="shared" si="80"/>
        <v>-540213.8145</v>
      </c>
      <c r="E57" s="458">
        <f t="shared" si="80"/>
        <v>-424633.6093</v>
      </c>
      <c r="F57" s="458">
        <f t="shared" si="80"/>
        <v>-678883.6917</v>
      </c>
      <c r="G57" s="458">
        <f t="shared" si="80"/>
        <v>112161.0364</v>
      </c>
      <c r="H57" s="458">
        <f t="shared" si="80"/>
        <v>1247684.672</v>
      </c>
      <c r="I57" s="459"/>
      <c r="J57" s="458">
        <f t="shared" ref="J57:R57" si="81">SUM((J24-J34))</f>
        <v>1323845.643</v>
      </c>
      <c r="K57" s="458">
        <f t="shared" si="81"/>
        <v>2266169.843</v>
      </c>
      <c r="L57" s="458">
        <f t="shared" si="81"/>
        <v>2360226.278</v>
      </c>
      <c r="M57" s="460">
        <f t="shared" si="81"/>
        <v>4558477.269</v>
      </c>
      <c r="N57" s="461">
        <f t="shared" si="81"/>
        <v>3528099.125</v>
      </c>
      <c r="O57" s="462">
        <f t="shared" si="81"/>
        <v>-2770769.945</v>
      </c>
      <c r="P57" s="463">
        <f t="shared" si="81"/>
        <v>6037315.542</v>
      </c>
      <c r="Q57" s="458">
        <f t="shared" si="81"/>
        <v>1364250155</v>
      </c>
      <c r="R57" s="458">
        <f t="shared" si="81"/>
        <v>5515024183</v>
      </c>
    </row>
    <row r="58">
      <c r="A58" s="464" t="s">
        <v>74</v>
      </c>
      <c r="B58" s="342"/>
      <c r="C58" s="457">
        <f t="shared" ref="C58:H58" si="82">SUM(C24-C34)</f>
        <v>-722946.2715</v>
      </c>
      <c r="D58" s="458">
        <f t="shared" si="82"/>
        <v>-540213.8145</v>
      </c>
      <c r="E58" s="458">
        <f t="shared" si="82"/>
        <v>-424633.6093</v>
      </c>
      <c r="F58" s="458">
        <f t="shared" si="82"/>
        <v>-678883.6917</v>
      </c>
      <c r="G58" s="458">
        <f t="shared" si="82"/>
        <v>112161.0364</v>
      </c>
      <c r="H58" s="458">
        <f t="shared" si="82"/>
        <v>1247684.672</v>
      </c>
      <c r="I58" s="459"/>
      <c r="J58" s="458">
        <f t="shared" ref="J58:R58" si="83">SUM(J24-J34)</f>
        <v>1323845.643</v>
      </c>
      <c r="K58" s="458">
        <f t="shared" si="83"/>
        <v>2266169.843</v>
      </c>
      <c r="L58" s="458">
        <f t="shared" si="83"/>
        <v>2360226.278</v>
      </c>
      <c r="M58" s="460">
        <f t="shared" si="83"/>
        <v>4558477.269</v>
      </c>
      <c r="N58" s="461">
        <f t="shared" si="83"/>
        <v>3528099.125</v>
      </c>
      <c r="O58" s="462">
        <f t="shared" si="83"/>
        <v>-2770769.945</v>
      </c>
      <c r="P58" s="465">
        <f t="shared" si="83"/>
        <v>6037315.542</v>
      </c>
      <c r="Q58" s="466">
        <f t="shared" si="83"/>
        <v>1364250155</v>
      </c>
      <c r="R58" s="466">
        <f t="shared" si="83"/>
        <v>5515024183</v>
      </c>
    </row>
    <row r="59">
      <c r="A59" s="464" t="s">
        <v>75</v>
      </c>
      <c r="B59" s="342"/>
      <c r="C59" s="457">
        <f t="shared" ref="C59:H59" si="84">SUM((C24-(C32+C31)))</f>
        <v>-356279.6048</v>
      </c>
      <c r="D59" s="458">
        <f t="shared" si="84"/>
        <v>-173547.1478</v>
      </c>
      <c r="E59" s="458">
        <f t="shared" si="84"/>
        <v>-57966.94267</v>
      </c>
      <c r="F59" s="458">
        <f t="shared" si="84"/>
        <v>-78883.69174</v>
      </c>
      <c r="G59" s="458">
        <f t="shared" si="84"/>
        <v>712161.0364</v>
      </c>
      <c r="H59" s="458">
        <f t="shared" si="84"/>
        <v>1847684.672</v>
      </c>
      <c r="I59" s="459"/>
      <c r="J59" s="458">
        <f t="shared" ref="J59:R59" si="85">SUM((J24-(J32+J31)))</f>
        <v>2597178.976</v>
      </c>
      <c r="K59" s="458">
        <f t="shared" si="85"/>
        <v>3539503.176</v>
      </c>
      <c r="L59" s="458">
        <f t="shared" si="85"/>
        <v>4130226.278</v>
      </c>
      <c r="M59" s="460">
        <f t="shared" si="85"/>
        <v>7913477.269</v>
      </c>
      <c r="N59" s="461">
        <f t="shared" si="85"/>
        <v>11360599.13</v>
      </c>
      <c r="O59" s="462">
        <f t="shared" si="85"/>
        <v>18501730.06</v>
      </c>
      <c r="P59" s="465">
        <f t="shared" si="85"/>
        <v>47280648.88</v>
      </c>
      <c r="Q59" s="466">
        <f t="shared" si="85"/>
        <v>249060581.9</v>
      </c>
      <c r="R59" s="466">
        <f t="shared" si="85"/>
        <v>3284645038</v>
      </c>
    </row>
    <row r="60">
      <c r="A60" s="467" t="s">
        <v>76</v>
      </c>
      <c r="B60" s="468"/>
      <c r="C60" s="469">
        <f t="shared" ref="C60:H60" si="86">SUM(C59/C12)</f>
        <v>-1265.192309</v>
      </c>
      <c r="D60" s="470">
        <f t="shared" si="86"/>
        <v>-205.429026</v>
      </c>
      <c r="E60" s="470">
        <f t="shared" si="86"/>
        <v>-34.30794664</v>
      </c>
      <c r="F60" s="470">
        <f t="shared" si="86"/>
        <v>-28.01256056</v>
      </c>
      <c r="G60" s="470">
        <f t="shared" si="86"/>
        <v>122.7040474</v>
      </c>
      <c r="H60" s="470">
        <f t="shared" si="86"/>
        <v>191.7948431</v>
      </c>
      <c r="I60" s="471"/>
      <c r="J60" s="470">
        <f t="shared" ref="J60:R60" si="87">SUM(J59/J12)</f>
        <v>190.522679</v>
      </c>
      <c r="K60" s="470">
        <f t="shared" si="87"/>
        <v>179.6549497</v>
      </c>
      <c r="L60" s="470">
        <f t="shared" si="87"/>
        <v>144.288382</v>
      </c>
      <c r="M60" s="472">
        <f t="shared" si="87"/>
        <v>192.5736978</v>
      </c>
      <c r="N60" s="473">
        <f t="shared" si="87"/>
        <v>198.4240726</v>
      </c>
      <c r="O60" s="474">
        <f t="shared" si="87"/>
        <v>229.7023341</v>
      </c>
      <c r="P60" s="475">
        <f t="shared" si="87"/>
        <v>586.9978305</v>
      </c>
      <c r="Q60" s="476">
        <f t="shared" si="87"/>
        <v>1030.710765</v>
      </c>
      <c r="R60" s="476">
        <f t="shared" si="87"/>
        <v>5825.637691</v>
      </c>
    </row>
    <row r="61">
      <c r="A61" s="464" t="s">
        <v>77</v>
      </c>
      <c r="B61" s="342"/>
      <c r="C61" s="457">
        <f t="shared" ref="C61:H61" si="88">SUM((C54*(C59/C24)))</f>
        <v>-1280069.401</v>
      </c>
      <c r="D61" s="458">
        <f t="shared" si="88"/>
        <v>-223444.6663</v>
      </c>
      <c r="E61" s="458">
        <f t="shared" si="88"/>
        <v>-30771.71135</v>
      </c>
      <c r="F61" s="458">
        <f t="shared" si="88"/>
        <v>-42142.04347</v>
      </c>
      <c r="G61" s="458">
        <f t="shared" si="88"/>
        <v>206374.7356</v>
      </c>
      <c r="H61" s="458">
        <f t="shared" si="88"/>
        <v>339846.4567</v>
      </c>
      <c r="I61" s="459"/>
      <c r="J61" s="458">
        <f t="shared" ref="J61:R61" si="89">SUM((J54*(J59/J24)))</f>
        <v>655764.8468</v>
      </c>
      <c r="K61" s="458">
        <f t="shared" si="89"/>
        <v>639463.4894</v>
      </c>
      <c r="L61" s="458">
        <f t="shared" si="89"/>
        <v>688481.6757</v>
      </c>
      <c r="M61" s="460">
        <f t="shared" si="89"/>
        <v>1664527.559</v>
      </c>
      <c r="N61" s="461">
        <f t="shared" si="89"/>
        <v>4013473.234</v>
      </c>
      <c r="O61" s="462">
        <f t="shared" si="89"/>
        <v>12312223.17</v>
      </c>
      <c r="P61" s="465">
        <f t="shared" si="89"/>
        <v>19435935.36</v>
      </c>
      <c r="Q61" s="466">
        <f t="shared" si="89"/>
        <v>161951125.9</v>
      </c>
      <c r="R61" s="466">
        <f t="shared" si="89"/>
        <v>775918829.8</v>
      </c>
    </row>
    <row r="62">
      <c r="A62" s="380" t="s">
        <v>78</v>
      </c>
      <c r="B62" s="324"/>
      <c r="C62" s="270"/>
      <c r="D62" s="272"/>
      <c r="E62" s="272"/>
      <c r="F62" s="272"/>
      <c r="G62" s="272"/>
      <c r="H62" s="272"/>
      <c r="I62" s="327"/>
      <c r="J62" s="272"/>
      <c r="K62" s="272"/>
      <c r="L62" s="272"/>
      <c r="M62" s="274"/>
      <c r="N62" s="275"/>
      <c r="O62" s="276"/>
      <c r="P62" s="477"/>
      <c r="Q62" s="331"/>
      <c r="R62" s="331"/>
    </row>
    <row r="63">
      <c r="A63" s="441" t="s">
        <v>79</v>
      </c>
      <c r="B63" s="366"/>
      <c r="C63" s="334">
        <f t="shared" ref="C63:H63" si="90">SUM(C24*12)</f>
        <v>1224644.742</v>
      </c>
      <c r="D63" s="333">
        <f t="shared" si="90"/>
        <v>3417434.226</v>
      </c>
      <c r="E63" s="333">
        <f t="shared" si="90"/>
        <v>8288604.585</v>
      </c>
      <c r="F63" s="333">
        <f t="shared" si="90"/>
        <v>13477338.4</v>
      </c>
      <c r="G63" s="333">
        <f t="shared" si="90"/>
        <v>24845868.11</v>
      </c>
      <c r="H63" s="333">
        <f t="shared" si="90"/>
        <v>39145117.96</v>
      </c>
      <c r="I63" s="335"/>
      <c r="J63" s="333">
        <f t="shared" ref="J63:R63" si="91">SUM(J24*12)</f>
        <v>60516959.63</v>
      </c>
      <c r="K63" s="333">
        <f t="shared" si="91"/>
        <v>84576538.66</v>
      </c>
      <c r="L63" s="333">
        <f t="shared" si="91"/>
        <v>127419522.2</v>
      </c>
      <c r="M63" s="336">
        <f t="shared" si="91"/>
        <v>191403616.7</v>
      </c>
      <c r="N63" s="337">
        <f t="shared" si="91"/>
        <v>266049541</v>
      </c>
      <c r="O63" s="338">
        <f t="shared" si="91"/>
        <v>383597386.7</v>
      </c>
      <c r="P63" s="367">
        <f t="shared" si="91"/>
        <v>1203962573</v>
      </c>
      <c r="Q63" s="340">
        <f t="shared" si="91"/>
        <v>18267001857</v>
      </c>
      <c r="R63" s="340">
        <f t="shared" si="91"/>
        <v>69972290201</v>
      </c>
    </row>
    <row r="64">
      <c r="A64" s="478" t="s">
        <v>80</v>
      </c>
      <c r="B64" s="468"/>
      <c r="C64" s="469"/>
      <c r="D64" s="470">
        <f t="shared" ref="D64:H64" si="92">SUM(D24/D63)</f>
        <v>0.08333333333</v>
      </c>
      <c r="E64" s="470">
        <f t="shared" si="92"/>
        <v>0.08333333333</v>
      </c>
      <c r="F64" s="470">
        <f t="shared" si="92"/>
        <v>0.08333333333</v>
      </c>
      <c r="G64" s="470">
        <f t="shared" si="92"/>
        <v>0.08333333333</v>
      </c>
      <c r="H64" s="470">
        <f t="shared" si="92"/>
        <v>0.08333333333</v>
      </c>
      <c r="I64" s="471"/>
      <c r="J64" s="470">
        <f t="shared" ref="J64:O64" si="93">SUM(J24/J63)</f>
        <v>0.08333333333</v>
      </c>
      <c r="K64" s="470">
        <f t="shared" si="93"/>
        <v>0.08333333333</v>
      </c>
      <c r="L64" s="470">
        <f t="shared" si="93"/>
        <v>0.08333333333</v>
      </c>
      <c r="M64" s="472">
        <f t="shared" si="93"/>
        <v>0.08333333333</v>
      </c>
      <c r="N64" s="473">
        <f t="shared" si="93"/>
        <v>0.08333333333</v>
      </c>
      <c r="O64" s="474">
        <f t="shared" si="93"/>
        <v>0.08333333333</v>
      </c>
      <c r="P64" s="475"/>
      <c r="Q64" s="476"/>
      <c r="R64" s="476"/>
    </row>
    <row r="65">
      <c r="A65" s="441" t="s">
        <v>81</v>
      </c>
      <c r="B65" s="366"/>
      <c r="C65" s="334">
        <f>SUM(Assumptions!F23*C12)</f>
        <v>915203.7265</v>
      </c>
      <c r="D65" s="333">
        <f>SUM(Assumptions!F23*D12)</f>
        <v>2745611.18</v>
      </c>
      <c r="E65" s="333">
        <f>SUM(Assumptions!F23*E12)</f>
        <v>5491222.359</v>
      </c>
      <c r="F65" s="333">
        <f>SUM(Assumptions!F23*F12)</f>
        <v>9152037.265</v>
      </c>
      <c r="G65" s="333">
        <f>SUM(Assumptions!F23*G12)</f>
        <v>18862648.92</v>
      </c>
      <c r="H65" s="333">
        <f>SUM(Assumptions!F23*H12)</f>
        <v>31309367.28</v>
      </c>
      <c r="I65" s="335"/>
      <c r="J65" s="333">
        <f>SUM(Assumptions!F23*J12)</f>
        <v>44303553.35</v>
      </c>
      <c r="K65" s="333">
        <f>SUM(Assumptions!F23*K12)</f>
        <v>64030439.13</v>
      </c>
      <c r="L65" s="333">
        <f>SUM(Assumptions!F23*L12)</f>
        <v>93030604.51</v>
      </c>
      <c r="M65" s="336">
        <f>SUM(Assumptions!F23*M12)</f>
        <v>133553031.5</v>
      </c>
      <c r="N65" s="337">
        <f>SUM(Assumptions!F23*N12)</f>
        <v>186075946.7</v>
      </c>
      <c r="O65" s="338">
        <f>SUM(Assumptions!F23*O12)</f>
        <v>261776280.7</v>
      </c>
      <c r="P65" s="367">
        <f>SUM(Assumptions!F23*P12)</f>
        <v>261776280.7</v>
      </c>
      <c r="Q65" s="340">
        <f>SUM(Assumptions!F23*Q12)</f>
        <v>785328842.1</v>
      </c>
      <c r="R65" s="340">
        <f>SUM(Assumptions!F23*R12)</f>
        <v>1832433965</v>
      </c>
    </row>
    <row r="66">
      <c r="A66" s="380" t="s">
        <v>82</v>
      </c>
      <c r="B66" s="324"/>
      <c r="C66" s="270"/>
      <c r="D66" s="272"/>
      <c r="E66" s="470"/>
      <c r="F66" s="272"/>
      <c r="G66" s="272"/>
      <c r="H66" s="272"/>
      <c r="I66" s="327"/>
      <c r="J66" s="272"/>
      <c r="K66" s="272"/>
      <c r="L66" s="272"/>
      <c r="M66" s="274"/>
      <c r="N66" s="275"/>
      <c r="O66" s="276"/>
      <c r="P66" s="477"/>
      <c r="Q66" s="331"/>
      <c r="R66" s="331"/>
    </row>
    <row r="67">
      <c r="A67" s="380" t="s">
        <v>83</v>
      </c>
      <c r="B67" s="324"/>
      <c r="C67" s="270"/>
      <c r="D67" s="272"/>
      <c r="E67" s="272"/>
      <c r="F67" s="272"/>
      <c r="G67" s="272"/>
      <c r="H67" s="272"/>
      <c r="I67" s="327"/>
      <c r="J67" s="272"/>
      <c r="K67" s="272"/>
      <c r="L67" s="272"/>
      <c r="M67" s="274"/>
      <c r="N67" s="275"/>
      <c r="O67" s="276"/>
      <c r="P67" s="477"/>
      <c r="Q67" s="331"/>
      <c r="R67" s="331"/>
    </row>
    <row r="68">
      <c r="A68" s="380" t="s">
        <v>84</v>
      </c>
      <c r="B68" s="324"/>
      <c r="C68" s="270"/>
      <c r="D68" s="272"/>
      <c r="E68" s="272"/>
      <c r="F68" s="272"/>
      <c r="G68" s="272"/>
      <c r="H68" s="272"/>
      <c r="I68" s="327"/>
      <c r="J68" s="272"/>
      <c r="K68" s="272"/>
      <c r="L68" s="272"/>
      <c r="M68" s="274"/>
      <c r="N68" s="275"/>
      <c r="O68" s="276"/>
      <c r="P68" s="477"/>
      <c r="Q68" s="331"/>
      <c r="R68" s="331"/>
    </row>
    <row r="69">
      <c r="A69" s="380" t="s">
        <v>85</v>
      </c>
      <c r="B69" s="324"/>
      <c r="C69" s="270"/>
      <c r="D69" s="272"/>
      <c r="E69" s="272"/>
      <c r="F69" s="272"/>
      <c r="G69" s="272"/>
      <c r="H69" s="272"/>
      <c r="I69" s="327"/>
      <c r="J69" s="272"/>
      <c r="K69" s="272"/>
      <c r="L69" s="272"/>
      <c r="M69" s="274"/>
      <c r="N69" s="275"/>
      <c r="O69" s="276"/>
      <c r="P69" s="477"/>
      <c r="Q69" s="331"/>
      <c r="R69" s="331"/>
    </row>
    <row r="70">
      <c r="A70" s="478" t="s">
        <v>86</v>
      </c>
      <c r="B70" s="468"/>
      <c r="C70" s="469">
        <f t="shared" ref="C70:H70" si="94">SUM(C32/C5)</f>
        <v>303.6209228</v>
      </c>
      <c r="D70" s="470">
        <f t="shared" si="94"/>
        <v>151.8104614</v>
      </c>
      <c r="E70" s="470">
        <f t="shared" si="94"/>
        <v>101.2069743</v>
      </c>
      <c r="F70" s="470">
        <f t="shared" si="94"/>
        <v>201.3448472</v>
      </c>
      <c r="G70" s="470">
        <f t="shared" si="94"/>
        <v>97.29263836</v>
      </c>
      <c r="H70" s="470">
        <f t="shared" si="94"/>
        <v>79.24391506</v>
      </c>
      <c r="I70" s="471"/>
      <c r="J70" s="470">
        <f t="shared" ref="J70:R70" si="95">SUM(J32/J5)</f>
        <v>138.2809641</v>
      </c>
      <c r="K70" s="470">
        <f t="shared" si="95"/>
        <v>133.9044146</v>
      </c>
      <c r="L70" s="470">
        <f t="shared" si="95"/>
        <v>127.2764121</v>
      </c>
      <c r="M70" s="472">
        <f t="shared" si="95"/>
        <v>118.0609641</v>
      </c>
      <c r="N70" s="473">
        <f t="shared" si="95"/>
        <v>131.2810143</v>
      </c>
      <c r="O70" s="474">
        <f t="shared" si="95"/>
        <v>112.6707378</v>
      </c>
      <c r="P70" s="475">
        <f t="shared" si="95"/>
        <v>136.1506131</v>
      </c>
      <c r="Q70" s="476">
        <f t="shared" si="95"/>
        <v>1633.807357</v>
      </c>
      <c r="R70" s="476">
        <f t="shared" si="95"/>
        <v>1633.807357</v>
      </c>
    </row>
    <row r="71">
      <c r="A71" s="478" t="s">
        <v>87</v>
      </c>
      <c r="B71" s="468"/>
      <c r="C71" s="469">
        <f t="shared" ref="C71:H71" si="96">SUM(C60/C9)</f>
        <v>-4217.307696</v>
      </c>
      <c r="D71" s="470">
        <f t="shared" si="96"/>
        <v>-684.7634199</v>
      </c>
      <c r="E71" s="470">
        <f t="shared" si="96"/>
        <v>-114.3598221</v>
      </c>
      <c r="F71" s="470">
        <f t="shared" si="96"/>
        <v>-93.37520187</v>
      </c>
      <c r="G71" s="470">
        <f t="shared" si="96"/>
        <v>409.0134915</v>
      </c>
      <c r="H71" s="470">
        <f t="shared" si="96"/>
        <v>639.3161435</v>
      </c>
      <c r="I71" s="471"/>
      <c r="J71" s="470">
        <f t="shared" ref="J71:R71" si="97">SUM(J60/J9)</f>
        <v>635.0755966</v>
      </c>
      <c r="K71" s="470">
        <f t="shared" si="97"/>
        <v>598.8498324</v>
      </c>
      <c r="L71" s="470">
        <f t="shared" si="97"/>
        <v>480.9612735</v>
      </c>
      <c r="M71" s="472">
        <f t="shared" si="97"/>
        <v>641.9123261</v>
      </c>
      <c r="N71" s="473">
        <f t="shared" si="97"/>
        <v>661.4135754</v>
      </c>
      <c r="O71" s="474">
        <f t="shared" si="97"/>
        <v>765.6744469</v>
      </c>
      <c r="P71" s="475">
        <f t="shared" si="97"/>
        <v>1956.659435</v>
      </c>
      <c r="Q71" s="476">
        <f t="shared" si="97"/>
        <v>3435.702549</v>
      </c>
      <c r="R71" s="476">
        <f t="shared" si="97"/>
        <v>19418.7923</v>
      </c>
    </row>
    <row r="72">
      <c r="A72" s="478" t="s">
        <v>88</v>
      </c>
      <c r="B72" s="468"/>
      <c r="C72" s="469">
        <f t="shared" ref="C72:H72" si="98">SUM(C71/C70)</f>
        <v>-13.89004307</v>
      </c>
      <c r="D72" s="470">
        <f t="shared" si="98"/>
        <v>-4.510647116</v>
      </c>
      <c r="E72" s="470">
        <f t="shared" si="98"/>
        <v>-1.129959896</v>
      </c>
      <c r="F72" s="470">
        <f t="shared" si="98"/>
        <v>-0.4637575938</v>
      </c>
      <c r="G72" s="470">
        <f t="shared" si="98"/>
        <v>4.203951073</v>
      </c>
      <c r="H72" s="470">
        <f t="shared" si="98"/>
        <v>8.067700126</v>
      </c>
      <c r="I72" s="471"/>
      <c r="J72" s="470">
        <f t="shared" ref="J72:R72" si="99">SUM(J71/J70)</f>
        <v>4.592646578</v>
      </c>
      <c r="K72" s="470">
        <f t="shared" si="99"/>
        <v>4.472218739</v>
      </c>
      <c r="L72" s="470">
        <f t="shared" si="99"/>
        <v>3.778872027</v>
      </c>
      <c r="M72" s="472">
        <f t="shared" si="99"/>
        <v>5.437125902</v>
      </c>
      <c r="N72" s="473">
        <f t="shared" si="99"/>
        <v>5.038151016</v>
      </c>
      <c r="O72" s="474">
        <f t="shared" si="99"/>
        <v>6.795681484</v>
      </c>
      <c r="P72" s="475">
        <f t="shared" si="99"/>
        <v>14.37128626</v>
      </c>
      <c r="Q72" s="476">
        <f t="shared" si="99"/>
        <v>2.102881061</v>
      </c>
      <c r="R72" s="476">
        <f t="shared" si="99"/>
        <v>11.88560709</v>
      </c>
    </row>
    <row r="73">
      <c r="A73" s="467" t="s">
        <v>89</v>
      </c>
      <c r="B73" s="468"/>
      <c r="C73" s="469">
        <f t="shared" ref="C73:H73" si="100">SUM((C70/C60)*30)</f>
        <v>-7.199401721</v>
      </c>
      <c r="D73" s="470">
        <f t="shared" si="100"/>
        <v>-22.16976798</v>
      </c>
      <c r="E73" s="470">
        <f t="shared" si="100"/>
        <v>-88.49871606</v>
      </c>
      <c r="F73" s="470">
        <f t="shared" si="100"/>
        <v>-215.6298923</v>
      </c>
      <c r="G73" s="470">
        <f t="shared" si="100"/>
        <v>23.78714649</v>
      </c>
      <c r="H73" s="470">
        <f t="shared" si="100"/>
        <v>12.39510622</v>
      </c>
      <c r="I73" s="471"/>
      <c r="J73" s="470">
        <f t="shared" ref="J73:R73" si="101">SUM((J70/J60)*30)</f>
        <v>21.7739376</v>
      </c>
      <c r="K73" s="470">
        <f t="shared" si="101"/>
        <v>22.36026586</v>
      </c>
      <c r="L73" s="470">
        <f t="shared" si="101"/>
        <v>26.46292314</v>
      </c>
      <c r="M73" s="472">
        <f t="shared" si="101"/>
        <v>18.39206996</v>
      </c>
      <c r="N73" s="473">
        <f t="shared" si="101"/>
        <v>19.84855152</v>
      </c>
      <c r="O73" s="474">
        <f t="shared" si="101"/>
        <v>14.71522764</v>
      </c>
      <c r="P73" s="475">
        <f t="shared" si="101"/>
        <v>6.958319401</v>
      </c>
      <c r="Q73" s="476">
        <f t="shared" si="101"/>
        <v>47.55380694</v>
      </c>
      <c r="R73" s="476">
        <f t="shared" si="101"/>
        <v>8.41353742</v>
      </c>
    </row>
    <row r="74">
      <c r="A74" s="478" t="s">
        <v>90</v>
      </c>
      <c r="B74" s="468"/>
      <c r="C74" s="469">
        <f t="shared" ref="C74:H74" si="102">SUM((C24/C65)*100)</f>
        <v>11.15093018</v>
      </c>
      <c r="D74" s="470">
        <f t="shared" si="102"/>
        <v>10.37241499</v>
      </c>
      <c r="E74" s="470">
        <f t="shared" si="102"/>
        <v>12.57856637</v>
      </c>
      <c r="F74" s="470">
        <f t="shared" si="102"/>
        <v>12.27171066</v>
      </c>
      <c r="G74" s="470">
        <f t="shared" si="102"/>
        <v>10.9766609</v>
      </c>
      <c r="H74" s="470">
        <f t="shared" si="102"/>
        <v>10.41890478</v>
      </c>
      <c r="I74" s="471"/>
      <c r="J74" s="470">
        <f t="shared" ref="J74:R74" si="103">SUM((J24/J65)*100)</f>
        <v>11.38301465</v>
      </c>
      <c r="K74" s="470">
        <f t="shared" si="103"/>
        <v>11.00733492</v>
      </c>
      <c r="L74" s="470">
        <f t="shared" si="103"/>
        <v>11.41376386</v>
      </c>
      <c r="M74" s="472">
        <f t="shared" si="103"/>
        <v>11.94304706</v>
      </c>
      <c r="N74" s="473">
        <f t="shared" si="103"/>
        <v>11.91491726</v>
      </c>
      <c r="O74" s="474">
        <f t="shared" si="103"/>
        <v>12.21136186</v>
      </c>
      <c r="P74" s="475">
        <f t="shared" si="103"/>
        <v>38.32670177</v>
      </c>
      <c r="Q74" s="476">
        <f t="shared" si="103"/>
        <v>193.8360179</v>
      </c>
      <c r="R74" s="476">
        <f t="shared" si="103"/>
        <v>318.2119681</v>
      </c>
    </row>
    <row r="75">
      <c r="A75" s="478" t="s">
        <v>91</v>
      </c>
      <c r="B75" s="468"/>
      <c r="C75" s="469">
        <f t="shared" ref="C75:H75" si="104">SUM(C24/C12)</f>
        <v>362.4052307</v>
      </c>
      <c r="D75" s="470">
        <f t="shared" si="104"/>
        <v>337.1034871</v>
      </c>
      <c r="E75" s="470">
        <f t="shared" si="104"/>
        <v>408.8034069</v>
      </c>
      <c r="F75" s="470">
        <f t="shared" si="104"/>
        <v>398.8305966</v>
      </c>
      <c r="G75" s="470">
        <f t="shared" si="104"/>
        <v>356.7414794</v>
      </c>
      <c r="H75" s="470">
        <f t="shared" si="104"/>
        <v>338.6144053</v>
      </c>
      <c r="I75" s="471"/>
      <c r="J75" s="470">
        <f t="shared" ref="J75:R75" si="105">SUM(J24/J12)</f>
        <v>369.9479761</v>
      </c>
      <c r="K75" s="470">
        <f t="shared" si="105"/>
        <v>357.738385</v>
      </c>
      <c r="L75" s="470">
        <f t="shared" si="105"/>
        <v>370.9473254</v>
      </c>
      <c r="M75" s="472">
        <f t="shared" si="105"/>
        <v>388.1490293</v>
      </c>
      <c r="N75" s="473">
        <f t="shared" si="105"/>
        <v>387.2348109</v>
      </c>
      <c r="O75" s="474">
        <f t="shared" si="105"/>
        <v>396.8692603</v>
      </c>
      <c r="P75" s="475">
        <f t="shared" si="105"/>
        <v>1245.617808</v>
      </c>
      <c r="Q75" s="476">
        <f t="shared" si="105"/>
        <v>6299.670581</v>
      </c>
      <c r="R75" s="476">
        <f t="shared" si="105"/>
        <v>10341.88896</v>
      </c>
    </row>
    <row r="76">
      <c r="A76" s="464" t="s">
        <v>92</v>
      </c>
      <c r="B76" s="342"/>
      <c r="C76" s="457">
        <f t="shared" ref="C76:H76" si="106">SUM(C24-C34)</f>
        <v>-722946.2715</v>
      </c>
      <c r="D76" s="458">
        <f t="shared" si="106"/>
        <v>-540213.8145</v>
      </c>
      <c r="E76" s="458">
        <f t="shared" si="106"/>
        <v>-424633.6093</v>
      </c>
      <c r="F76" s="458">
        <f t="shared" si="106"/>
        <v>-678883.6917</v>
      </c>
      <c r="G76" s="458">
        <f t="shared" si="106"/>
        <v>112161.0364</v>
      </c>
      <c r="H76" s="458">
        <f t="shared" si="106"/>
        <v>1247684.672</v>
      </c>
      <c r="I76" s="459"/>
      <c r="J76" s="458">
        <f t="shared" ref="J76:R76" si="107">SUM(J24-J34)</f>
        <v>1323845.643</v>
      </c>
      <c r="K76" s="458">
        <f t="shared" si="107"/>
        <v>2266169.843</v>
      </c>
      <c r="L76" s="458">
        <f t="shared" si="107"/>
        <v>2360226.278</v>
      </c>
      <c r="M76" s="460">
        <f t="shared" si="107"/>
        <v>4558477.269</v>
      </c>
      <c r="N76" s="461">
        <f t="shared" si="107"/>
        <v>3528099.125</v>
      </c>
      <c r="O76" s="462">
        <f t="shared" si="107"/>
        <v>-2770769.945</v>
      </c>
      <c r="P76" s="465">
        <f t="shared" si="107"/>
        <v>6037315.542</v>
      </c>
      <c r="Q76" s="466">
        <f t="shared" si="107"/>
        <v>1364250155</v>
      </c>
      <c r="R76" s="466">
        <f t="shared" si="107"/>
        <v>5515024183</v>
      </c>
    </row>
    <row r="77">
      <c r="A77" s="380" t="s">
        <v>93</v>
      </c>
      <c r="B77" s="324"/>
      <c r="C77" s="270"/>
      <c r="D77" s="272"/>
      <c r="E77" s="272"/>
      <c r="F77" s="272"/>
      <c r="G77" s="272"/>
      <c r="H77" s="272"/>
      <c r="I77" s="327"/>
      <c r="J77" s="272"/>
      <c r="K77" s="272"/>
      <c r="L77" s="272"/>
      <c r="M77" s="274"/>
      <c r="N77" s="275"/>
      <c r="O77" s="276"/>
      <c r="P77" s="477"/>
      <c r="Q77" s="331"/>
      <c r="R77" s="331"/>
    </row>
    <row r="78">
      <c r="A78" s="478" t="s">
        <v>94</v>
      </c>
      <c r="B78" s="468"/>
      <c r="C78" s="469"/>
      <c r="D78" s="470">
        <f t="shared" ref="D78:H78" si="108">SUM((D24-C24)*(12/C32))</f>
        <v>7.309298281</v>
      </c>
      <c r="E78" s="470">
        <f t="shared" si="108"/>
        <v>16.23723453</v>
      </c>
      <c r="F78" s="470">
        <f t="shared" si="108"/>
        <v>17.29577937</v>
      </c>
      <c r="G78" s="470">
        <f t="shared" si="108"/>
        <v>14.28611795</v>
      </c>
      <c r="H78" s="470">
        <f t="shared" si="108"/>
        <v>14.01893133</v>
      </c>
      <c r="I78" s="471"/>
      <c r="J78" s="470">
        <f>SUM((J24-H24)*(12/H32))</f>
        <v>20.07009291</v>
      </c>
      <c r="K78" s="470">
        <f t="shared" ref="K78:R78" si="109">SUM((K24-J24)*(12/J32))</f>
        <v>12.40237232</v>
      </c>
      <c r="L78" s="470">
        <f t="shared" si="109"/>
        <v>15.02292513</v>
      </c>
      <c r="M78" s="472">
        <f t="shared" si="109"/>
        <v>16.05653575</v>
      </c>
      <c r="N78" s="473">
        <f t="shared" si="109"/>
        <v>14.45215289</v>
      </c>
      <c r="O78" s="474">
        <f t="shared" si="109"/>
        <v>15.79036427</v>
      </c>
      <c r="P78" s="475">
        <f t="shared" si="109"/>
        <v>89.08949739</v>
      </c>
      <c r="Q78" s="476">
        <f t="shared" si="109"/>
        <v>466.778788</v>
      </c>
      <c r="R78" s="476">
        <f t="shared" si="109"/>
        <v>58.93569972</v>
      </c>
    </row>
    <row r="79">
      <c r="A79" s="380" t="s">
        <v>95</v>
      </c>
      <c r="B79" s="324"/>
      <c r="C79" s="270"/>
      <c r="D79" s="272"/>
      <c r="E79" s="272"/>
      <c r="F79" s="272"/>
      <c r="G79" s="272"/>
      <c r="H79" s="272"/>
      <c r="I79" s="327"/>
      <c r="J79" s="272"/>
      <c r="K79" s="272"/>
      <c r="L79" s="272"/>
      <c r="M79" s="274"/>
      <c r="N79" s="275"/>
      <c r="O79" s="276"/>
      <c r="P79" s="477"/>
      <c r="Q79" s="331"/>
      <c r="R79" s="331"/>
    </row>
    <row r="80">
      <c r="A80" s="380" t="s">
        <v>96</v>
      </c>
      <c r="B80" s="324"/>
      <c r="C80" s="270"/>
      <c r="D80" s="272"/>
      <c r="E80" s="272"/>
      <c r="F80" s="272"/>
      <c r="G80" s="272"/>
      <c r="H80" s="272"/>
      <c r="I80" s="327"/>
      <c r="J80" s="272"/>
      <c r="K80" s="272"/>
      <c r="L80" s="272"/>
      <c r="M80" s="274"/>
      <c r="N80" s="275"/>
      <c r="O80" s="276"/>
      <c r="P80" s="477"/>
      <c r="Q80" s="331"/>
      <c r="R80" s="331"/>
    </row>
    <row r="81">
      <c r="A81" s="478" t="s">
        <v>97</v>
      </c>
      <c r="B81" s="468"/>
      <c r="C81" s="469">
        <f t="shared" ref="C81:H81" si="110">SUM(C37/C34)</f>
        <v>5.18430755</v>
      </c>
      <c r="D81" s="470">
        <f t="shared" si="110"/>
        <v>4.529502926</v>
      </c>
      <c r="E81" s="470">
        <f t="shared" si="110"/>
        <v>2.969654683</v>
      </c>
      <c r="F81" s="470">
        <f t="shared" si="110"/>
        <v>1.461337176</v>
      </c>
      <c r="G81" s="470">
        <f t="shared" si="110"/>
        <v>1.401952935</v>
      </c>
      <c r="H81" s="470">
        <f t="shared" si="110"/>
        <v>1.982303162</v>
      </c>
      <c r="I81" s="471"/>
      <c r="J81" s="470">
        <f t="shared" ref="J81:O81" si="111">SUM(J37/J34)</f>
        <v>1.564035351</v>
      </c>
      <c r="K81" s="470">
        <f t="shared" si="111"/>
        <v>1.690379554</v>
      </c>
      <c r="L81" s="470">
        <f t="shared" si="111"/>
        <v>1.264631273</v>
      </c>
      <c r="M81" s="472">
        <f t="shared" si="111"/>
        <v>1.316899488</v>
      </c>
      <c r="N81" s="473">
        <f t="shared" si="111"/>
        <v>0.9939542285</v>
      </c>
      <c r="O81" s="474">
        <f t="shared" si="111"/>
        <v>0.4536694952</v>
      </c>
      <c r="P81" s="475"/>
      <c r="Q81" s="476"/>
      <c r="R81" s="476"/>
    </row>
    <row r="82">
      <c r="A82" s="380" t="s">
        <v>98</v>
      </c>
      <c r="B82" s="324"/>
      <c r="C82" s="479"/>
      <c r="D82" s="480"/>
      <c r="E82" s="480"/>
      <c r="F82" s="480"/>
      <c r="G82" s="480"/>
      <c r="H82" s="480"/>
      <c r="I82" s="481"/>
      <c r="J82" s="482"/>
      <c r="K82" s="482"/>
      <c r="L82" s="482"/>
      <c r="M82" s="483"/>
      <c r="N82" s="484"/>
      <c r="O82" s="276"/>
      <c r="P82" s="477"/>
      <c r="Q82" s="331"/>
      <c r="R82" s="331"/>
    </row>
    <row r="83">
      <c r="A83" s="324"/>
      <c r="B83" s="324"/>
      <c r="C83" s="272"/>
      <c r="D83" s="271"/>
      <c r="E83" s="470"/>
      <c r="F83" s="272"/>
      <c r="G83" s="272"/>
      <c r="H83" s="272"/>
      <c r="I83" s="485"/>
      <c r="J83" s="272"/>
      <c r="K83" s="272"/>
      <c r="L83" s="272"/>
      <c r="M83" s="272"/>
      <c r="N83" s="272"/>
      <c r="O83" s="272"/>
      <c r="P83" s="277"/>
      <c r="Q83" s="277"/>
      <c r="R83" s="277"/>
    </row>
    <row r="84">
      <c r="A84" s="324"/>
      <c r="B84" s="324"/>
      <c r="C84" s="272"/>
      <c r="D84" s="271"/>
      <c r="E84" s="272"/>
      <c r="F84" s="272"/>
      <c r="G84" s="272"/>
      <c r="H84" s="272"/>
      <c r="I84" s="485"/>
      <c r="J84" s="272"/>
      <c r="K84" s="272"/>
      <c r="L84" s="272"/>
      <c r="M84" s="272"/>
      <c r="N84" s="272"/>
      <c r="O84" s="272"/>
      <c r="P84" s="277"/>
      <c r="Q84" s="277"/>
      <c r="R84" s="277"/>
    </row>
    <row r="85">
      <c r="A85" s="324"/>
      <c r="B85" s="324"/>
      <c r="C85" s="272"/>
      <c r="D85" s="271"/>
      <c r="E85" s="272"/>
      <c r="F85" s="470"/>
      <c r="G85" s="272"/>
      <c r="H85" s="272"/>
      <c r="I85" s="485"/>
      <c r="J85" s="272"/>
      <c r="K85" s="272"/>
      <c r="L85" s="272"/>
      <c r="M85" s="272"/>
      <c r="N85" s="272"/>
      <c r="O85" s="272"/>
      <c r="P85" s="277"/>
      <c r="Q85" s="277"/>
      <c r="R85" s="277"/>
    </row>
    <row r="86">
      <c r="A86" s="324"/>
      <c r="B86" s="324"/>
      <c r="C86" s="272"/>
      <c r="D86" s="271"/>
      <c r="E86" s="272"/>
      <c r="F86" s="272"/>
      <c r="G86" s="272"/>
      <c r="H86" s="272"/>
      <c r="I86" s="485"/>
      <c r="J86" s="272"/>
      <c r="K86" s="272"/>
      <c r="L86" s="272"/>
      <c r="M86" s="272"/>
      <c r="N86" s="272"/>
      <c r="O86" s="272"/>
      <c r="P86" s="277"/>
      <c r="Q86" s="277"/>
      <c r="R86" s="277"/>
    </row>
    <row r="87">
      <c r="A87" s="324"/>
      <c r="B87" s="324"/>
      <c r="C87" s="486"/>
      <c r="D87" s="487" t="s">
        <v>99</v>
      </c>
      <c r="E87" s="488"/>
      <c r="F87" s="488"/>
      <c r="G87" s="488"/>
      <c r="H87" s="489"/>
      <c r="I87" s="490"/>
      <c r="J87" s="486"/>
      <c r="K87" s="488"/>
      <c r="L87" s="489"/>
      <c r="M87" s="272"/>
      <c r="N87" s="272"/>
      <c r="O87" s="272"/>
      <c r="P87" s="277"/>
      <c r="Q87" s="491"/>
      <c r="R87" s="492"/>
    </row>
  </sheetData>
  <mergeCells count="2">
    <mergeCell ref="B1:R1"/>
    <mergeCell ref="B2:R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18.63"/>
    <col customWidth="1" min="3" max="3" width="17.63"/>
    <col customWidth="1" min="4" max="4" width="18.38"/>
  </cols>
  <sheetData>
    <row r="1">
      <c r="A1" s="63" t="s">
        <v>9</v>
      </c>
      <c r="B1" s="64"/>
      <c r="C1" s="64"/>
      <c r="D1" s="65"/>
    </row>
    <row r="2">
      <c r="A2" s="63" t="s">
        <v>100</v>
      </c>
      <c r="B2" s="64"/>
      <c r="C2" s="64"/>
      <c r="D2" s="65"/>
    </row>
    <row r="3">
      <c r="A3" s="493"/>
      <c r="B3" s="494" t="s">
        <v>101</v>
      </c>
      <c r="C3" s="495" t="s">
        <v>102</v>
      </c>
      <c r="D3" s="496">
        <v>650.0</v>
      </c>
    </row>
    <row r="4">
      <c r="A4" s="493"/>
      <c r="C4" s="497" t="s">
        <v>103</v>
      </c>
      <c r="D4" s="498">
        <v>0.3</v>
      </c>
    </row>
    <row r="5">
      <c r="A5" s="499"/>
      <c r="B5" s="500" t="s">
        <v>26</v>
      </c>
      <c r="C5" s="500" t="s">
        <v>27</v>
      </c>
      <c r="D5" s="500" t="s">
        <v>28</v>
      </c>
    </row>
    <row r="6">
      <c r="A6" s="501" t="s">
        <v>104</v>
      </c>
      <c r="B6" s="502"/>
      <c r="C6" s="503"/>
      <c r="D6" s="503"/>
    </row>
    <row r="7">
      <c r="A7" s="504" t="s">
        <v>43</v>
      </c>
      <c r="B7" s="505">
        <f>SUM('Monthly BrakeDown'!P19)</f>
        <v>42612277.53</v>
      </c>
      <c r="C7" s="505">
        <f>'Monthly BrakeDown'!Q19</f>
        <v>471197305.3</v>
      </c>
      <c r="D7" s="505">
        <f>'Monthly BrakeDown'!R19</f>
        <v>1099460379</v>
      </c>
    </row>
    <row r="8">
      <c r="A8" s="506" t="s">
        <v>44</v>
      </c>
      <c r="B8" s="505">
        <f>'Monthly BrakeDown'!P20</f>
        <v>17024918.93</v>
      </c>
      <c r="C8" s="505">
        <f>'Monthly BrakeDown'!Q20</f>
        <v>188478922.1</v>
      </c>
      <c r="D8" s="505">
        <f>'Monthly BrakeDown'!R20</f>
        <v>439784151.6</v>
      </c>
    </row>
    <row r="9">
      <c r="A9" s="504" t="s">
        <v>45</v>
      </c>
      <c r="B9" s="505">
        <f>'Monthly BrakeDown'!P21</f>
        <v>25289610.2</v>
      </c>
      <c r="C9" s="505">
        <f>'Monthly BrakeDown'!Q21</f>
        <v>691493059.6</v>
      </c>
      <c r="D9" s="505">
        <f>'Monthly BrakeDown'!R21</f>
        <v>3892590961</v>
      </c>
    </row>
    <row r="10">
      <c r="A10" s="507" t="s">
        <v>105</v>
      </c>
      <c r="B10" s="505">
        <f>SUM('Monthly BrakeDown'!P22)</f>
        <v>2619218.297</v>
      </c>
      <c r="C10" s="505">
        <f>SUM('Monthly BrakeDown'!Q22)</f>
        <v>28996757.25</v>
      </c>
      <c r="D10" s="505">
        <f>SUM('Monthly BrakeDown'!R22)</f>
        <v>67659100.24</v>
      </c>
    </row>
    <row r="11">
      <c r="A11" s="504" t="s">
        <v>47</v>
      </c>
      <c r="B11" s="505">
        <f>SUM('Monthly BrakeDown'!P23)</f>
        <v>12834169.66</v>
      </c>
      <c r="C11" s="505">
        <f>SUM('Monthly BrakeDown'!Q23)</f>
        <v>142084110.5</v>
      </c>
      <c r="D11" s="505">
        <f>SUM('Monthly BrakeDown'!R23)</f>
        <v>331529591.2</v>
      </c>
    </row>
    <row r="12">
      <c r="A12" s="508" t="s">
        <v>106</v>
      </c>
      <c r="B12" s="509"/>
      <c r="C12" s="509"/>
      <c r="D12" s="509"/>
    </row>
    <row r="13">
      <c r="A13" s="508" t="s">
        <v>107</v>
      </c>
      <c r="B13" s="509"/>
      <c r="C13" s="509">
        <f>SUM(Assumptions!C29*Assumptions!D29*Assumptions!F29)</f>
        <v>11524884.33</v>
      </c>
      <c r="D13" s="509">
        <f>SUM(Assumptions!C29*Assumptions!D29*Assumptions!G29)</f>
        <v>129753032</v>
      </c>
    </row>
    <row r="14">
      <c r="A14" s="509"/>
      <c r="B14" s="509"/>
      <c r="C14" s="509"/>
      <c r="D14" s="509"/>
    </row>
    <row r="15">
      <c r="A15" s="510" t="s">
        <v>48</v>
      </c>
      <c r="B15" s="511">
        <f t="shared" ref="B15:D15" si="1">SUM(B7:B14)</f>
        <v>100380194.6</v>
      </c>
      <c r="C15" s="511">
        <f t="shared" si="1"/>
        <v>1533775039</v>
      </c>
      <c r="D15" s="511">
        <f t="shared" si="1"/>
        <v>5960777215</v>
      </c>
    </row>
    <row r="16">
      <c r="A16" s="512" t="s">
        <v>108</v>
      </c>
      <c r="B16" s="513"/>
      <c r="C16" s="513"/>
      <c r="D16" s="513"/>
    </row>
    <row r="17">
      <c r="A17" s="514" t="s">
        <v>54</v>
      </c>
      <c r="B17" s="505">
        <f>SUM(Assumptions!C32)</f>
        <v>6583333.333</v>
      </c>
      <c r="C17" s="505">
        <f>SUM(Assumptions!D32)</f>
        <v>158000000</v>
      </c>
      <c r="D17" s="505">
        <f>SUM(Assumptions!E32)</f>
        <v>316000000</v>
      </c>
    </row>
    <row r="18">
      <c r="A18" s="515" t="s">
        <v>56</v>
      </c>
      <c r="B18" s="505">
        <f>SUM(Assumptions!C33)</f>
        <v>36554872.93</v>
      </c>
      <c r="C18" s="505">
        <f>SUM(Assumptions!D33)</f>
        <v>877316950.4</v>
      </c>
      <c r="D18" s="505">
        <f>SUM(Assumptions!E33)</f>
        <v>1754633901</v>
      </c>
    </row>
    <row r="19">
      <c r="A19" s="516" t="s">
        <v>55</v>
      </c>
      <c r="B19" s="505">
        <f>SUM(Assumptions!C34)</f>
        <v>16494692.6</v>
      </c>
      <c r="C19" s="505">
        <f>SUM(Assumptions!D34)</f>
        <v>395872622.5</v>
      </c>
      <c r="D19" s="505">
        <f>SUM(Assumptions!E34)</f>
        <v>791745244.9</v>
      </c>
    </row>
    <row r="20">
      <c r="A20" s="514" t="s">
        <v>53</v>
      </c>
      <c r="B20" s="505">
        <f>SUM(Assumptions!C35)</f>
        <v>4783333.333</v>
      </c>
      <c r="C20" s="505">
        <f>SUM(Assumptions!D35)</f>
        <v>114800000</v>
      </c>
      <c r="D20" s="505">
        <f>SUM(Assumptions!E35)</f>
        <v>229600000</v>
      </c>
    </row>
    <row r="21">
      <c r="A21" s="515" t="s">
        <v>52</v>
      </c>
      <c r="B21" s="505">
        <f>SUM(Assumptions!C36)</f>
        <v>4783333.333</v>
      </c>
      <c r="C21" s="505">
        <f>SUM(Assumptions!D36)</f>
        <v>114800000</v>
      </c>
      <c r="D21" s="505">
        <f>SUM(Assumptions!E36)</f>
        <v>229600000</v>
      </c>
    </row>
    <row r="22">
      <c r="A22" s="515" t="s">
        <v>51</v>
      </c>
      <c r="B22" s="505">
        <f>SUM(Assumptions!C37)</f>
        <v>25093333.33</v>
      </c>
      <c r="C22" s="505">
        <f>SUM(Assumptions!D37)</f>
        <v>602240000</v>
      </c>
      <c r="D22" s="505">
        <f>SUM(Assumptions!E37)</f>
        <v>602240000</v>
      </c>
    </row>
    <row r="23">
      <c r="A23" s="517"/>
      <c r="B23" s="505"/>
      <c r="C23" s="505"/>
      <c r="D23" s="505"/>
    </row>
    <row r="24">
      <c r="A24" s="517" t="s">
        <v>35</v>
      </c>
      <c r="B24" s="503">
        <f>SUM('Monthly BrakeDown'!P5)</f>
        <v>268488.493</v>
      </c>
      <c r="C24" s="503">
        <f>SUM('Monthly BrakeDown'!Q5)</f>
        <v>536976.986</v>
      </c>
      <c r="D24" s="503">
        <f>SUM('Monthly BrakeDown'!R5)</f>
        <v>1073953.972</v>
      </c>
    </row>
    <row r="25">
      <c r="A25" s="517" t="s">
        <v>109</v>
      </c>
      <c r="B25" s="503">
        <f>SUM('Monthly BrakeDown'!P6)</f>
        <v>80546.54791</v>
      </c>
      <c r="C25" s="503">
        <f>SUM('Monthly BrakeDown'!Q6)</f>
        <v>241639.6437</v>
      </c>
      <c r="D25" s="503">
        <f>SUM('Monthly BrakeDown'!R6)</f>
        <v>563825.8354</v>
      </c>
    </row>
    <row r="26">
      <c r="A26" s="517" t="s">
        <v>86</v>
      </c>
      <c r="B26" s="503">
        <f t="shared" ref="B26:D26" si="2">SUM(B18/B24)</f>
        <v>136.1506131</v>
      </c>
      <c r="C26" s="503">
        <f t="shared" si="2"/>
        <v>1633.807357</v>
      </c>
      <c r="D26" s="503">
        <f t="shared" si="2"/>
        <v>1633.807357</v>
      </c>
    </row>
    <row r="27">
      <c r="A27" s="517" t="s">
        <v>110</v>
      </c>
      <c r="B27" s="503">
        <f t="shared" ref="B27:D27" si="3">SUM(B18/B25)</f>
        <v>453.8353769</v>
      </c>
      <c r="C27" s="503">
        <f t="shared" si="3"/>
        <v>3630.683016</v>
      </c>
      <c r="D27" s="503">
        <f t="shared" si="3"/>
        <v>3112.014013</v>
      </c>
    </row>
    <row r="28">
      <c r="A28" s="517" t="s">
        <v>111</v>
      </c>
      <c r="B28" s="503" t="s">
        <v>112</v>
      </c>
      <c r="C28" s="503" t="s">
        <v>113</v>
      </c>
      <c r="D28" s="503" t="s">
        <v>114</v>
      </c>
    </row>
    <row r="29">
      <c r="A29" s="517" t="s">
        <v>115</v>
      </c>
      <c r="B29" s="505" t="str">
        <f>Assumptions!C51</f>
        <v/>
      </c>
      <c r="C29" s="505" t="str">
        <f>Assumptions!D51</f>
        <v/>
      </c>
      <c r="D29" s="505" t="str">
        <f>Assumptions!E51</f>
        <v/>
      </c>
    </row>
    <row r="30">
      <c r="A30" s="517"/>
      <c r="B30" s="505"/>
      <c r="C30" s="505"/>
      <c r="D30" s="505"/>
    </row>
    <row r="31">
      <c r="A31" s="517"/>
      <c r="B31" s="505" t="str">
        <f>Assumptions!C52</f>
        <v/>
      </c>
      <c r="C31" s="505" t="str">
        <f>Assumptions!D52</f>
        <v/>
      </c>
      <c r="D31" s="505" t="str">
        <f>Assumptions!E52</f>
        <v/>
      </c>
    </row>
    <row r="32">
      <c r="A32" s="518" t="s">
        <v>116</v>
      </c>
      <c r="B32" s="519">
        <f t="shared" ref="B32:D32" si="4">SUM(B17:B22)</f>
        <v>94292898.87</v>
      </c>
      <c r="C32" s="519">
        <f t="shared" si="4"/>
        <v>2263029573</v>
      </c>
      <c r="D32" s="519">
        <f t="shared" si="4"/>
        <v>3923819146</v>
      </c>
    </row>
    <row r="33">
      <c r="A33" s="520"/>
      <c r="B33" s="521"/>
      <c r="C33" s="521"/>
      <c r="D33" s="521"/>
    </row>
    <row r="34">
      <c r="A34" s="517" t="s">
        <v>117</v>
      </c>
      <c r="B34" s="522">
        <f t="shared" ref="B34:D34" si="5">SUM(B15-B32)</f>
        <v>6087295.739</v>
      </c>
      <c r="C34" s="522">
        <f t="shared" si="5"/>
        <v>-729254533.7</v>
      </c>
      <c r="D34" s="505">
        <f t="shared" si="5"/>
        <v>2036958070</v>
      </c>
    </row>
    <row r="35">
      <c r="A35" s="517" t="s">
        <v>118</v>
      </c>
      <c r="B35" s="522">
        <f>Max(0,B34*Assumptions!C3)</f>
        <v>1826188.722</v>
      </c>
      <c r="C35" s="522">
        <f>Max(0,C34*Assumptions!D3)</f>
        <v>0</v>
      </c>
      <c r="D35" s="505">
        <f>D34*Assumptions!C3</f>
        <v>611087421</v>
      </c>
    </row>
    <row r="36">
      <c r="A36" s="523" t="s">
        <v>119</v>
      </c>
      <c r="B36" s="524">
        <f t="shared" ref="B36:D36" si="6">B34-B35</f>
        <v>4261107.017</v>
      </c>
      <c r="C36" s="524">
        <f t="shared" si="6"/>
        <v>-729254533.7</v>
      </c>
      <c r="D36" s="525">
        <f t="shared" si="6"/>
        <v>1425870649</v>
      </c>
    </row>
    <row r="37">
      <c r="A37" s="526" t="s">
        <v>120</v>
      </c>
      <c r="B37" s="527">
        <f t="shared" ref="B37:D37" si="7">B36/B15</f>
        <v>0.04244967879</v>
      </c>
      <c r="C37" s="527">
        <f t="shared" si="7"/>
        <v>-0.4754638165</v>
      </c>
      <c r="D37" s="527">
        <f t="shared" si="7"/>
        <v>0.2392088477</v>
      </c>
    </row>
    <row r="38">
      <c r="A38" s="528"/>
      <c r="B38" s="529"/>
      <c r="C38" s="529"/>
      <c r="D38" s="529"/>
    </row>
    <row r="39">
      <c r="A39" s="501" t="s">
        <v>121</v>
      </c>
      <c r="B39" s="530">
        <f t="shared" ref="B39:D39" si="8">B36+B35</f>
        <v>6087295.739</v>
      </c>
      <c r="C39" s="531">
        <f t="shared" si="8"/>
        <v>-729254533.7</v>
      </c>
      <c r="D39" s="532">
        <f t="shared" si="8"/>
        <v>2036958070</v>
      </c>
    </row>
    <row r="40" ht="13.5" customHeight="1">
      <c r="A40" s="533"/>
      <c r="B40" s="534">
        <f t="shared" ref="B40:D40" si="9">B39/B15</f>
        <v>0.06064239827</v>
      </c>
      <c r="C40" s="534">
        <f t="shared" si="9"/>
        <v>-0.4754638165</v>
      </c>
      <c r="D40" s="534">
        <f t="shared" si="9"/>
        <v>0.3417269252</v>
      </c>
    </row>
    <row r="41">
      <c r="A41" s="535" t="s">
        <v>122</v>
      </c>
      <c r="B41" s="536">
        <f>SUM(B15*20)</f>
        <v>2007603892</v>
      </c>
      <c r="C41" s="536">
        <f t="shared" ref="C41:D41" si="10">SUM(C15*10)</f>
        <v>15337750391</v>
      </c>
      <c r="D41" s="536">
        <f t="shared" si="10"/>
        <v>59607772155</v>
      </c>
    </row>
    <row r="42">
      <c r="A42" s="508" t="s">
        <v>123</v>
      </c>
      <c r="B42" s="537">
        <f t="shared" ref="B42:D42" si="11">SUM(B41/85)</f>
        <v>23618869.32</v>
      </c>
      <c r="C42" s="537">
        <f t="shared" si="11"/>
        <v>180444122.2</v>
      </c>
      <c r="D42" s="537">
        <f t="shared" si="11"/>
        <v>701267907.7</v>
      </c>
    </row>
    <row r="43">
      <c r="A43" s="528"/>
      <c r="B43" s="529"/>
      <c r="C43" s="529"/>
      <c r="D43" s="529"/>
    </row>
    <row r="44">
      <c r="A44" s="538" t="s">
        <v>34</v>
      </c>
      <c r="B44" s="536">
        <f>SUM('Monthly BrakeDown'!P11)</f>
        <v>268488.493</v>
      </c>
      <c r="C44" s="536">
        <f>SUM('Monthly BrakeDown'!Q11)</f>
        <v>805465.4791</v>
      </c>
      <c r="D44" s="536">
        <f>SUM('Monthly BrakeDown'!R11)</f>
        <v>1879419.451</v>
      </c>
    </row>
    <row r="45">
      <c r="A45" s="539"/>
      <c r="B45" s="529"/>
      <c r="C45" s="529"/>
      <c r="D45" s="529"/>
    </row>
    <row r="46">
      <c r="A46" s="539" t="s">
        <v>70</v>
      </c>
      <c r="B46" s="529"/>
      <c r="C46" s="529"/>
      <c r="D46" s="529"/>
    </row>
    <row r="47">
      <c r="A47" s="539" t="s">
        <v>71</v>
      </c>
      <c r="B47" s="529"/>
      <c r="C47" s="529"/>
      <c r="D47" s="529"/>
    </row>
    <row r="48">
      <c r="A48" s="540" t="s">
        <v>72</v>
      </c>
      <c r="B48" s="529"/>
      <c r="C48" s="529"/>
      <c r="D48" s="529"/>
    </row>
    <row r="49">
      <c r="A49" s="539" t="s">
        <v>74</v>
      </c>
      <c r="B49" s="529"/>
      <c r="C49" s="529"/>
      <c r="D49" s="529"/>
    </row>
    <row r="50">
      <c r="A50" s="539" t="s">
        <v>75</v>
      </c>
      <c r="B50" s="529"/>
      <c r="C50" s="529"/>
      <c r="D50" s="529"/>
    </row>
    <row r="51">
      <c r="A51" s="540" t="s">
        <v>76</v>
      </c>
      <c r="B51" s="529"/>
      <c r="C51" s="529"/>
      <c r="D51" s="529"/>
    </row>
    <row r="52">
      <c r="A52" s="539" t="s">
        <v>77</v>
      </c>
      <c r="B52" s="529"/>
      <c r="C52" s="529"/>
      <c r="D52" s="529"/>
    </row>
    <row r="53">
      <c r="A53" s="539" t="s">
        <v>78</v>
      </c>
      <c r="B53" s="529"/>
      <c r="C53" s="529"/>
      <c r="D53" s="529"/>
    </row>
    <row r="54">
      <c r="A54" s="539" t="s">
        <v>79</v>
      </c>
      <c r="B54" s="529"/>
      <c r="C54" s="529"/>
      <c r="D54" s="529"/>
    </row>
    <row r="55">
      <c r="A55" s="539" t="s">
        <v>80</v>
      </c>
      <c r="B55" s="529"/>
      <c r="C55" s="529"/>
      <c r="D55" s="529"/>
    </row>
    <row r="56">
      <c r="A56" s="539" t="s">
        <v>81</v>
      </c>
      <c r="B56" s="529"/>
      <c r="C56" s="529"/>
      <c r="D56" s="529"/>
    </row>
    <row r="57">
      <c r="A57" s="539" t="s">
        <v>82</v>
      </c>
      <c r="B57" s="529"/>
      <c r="C57" s="529"/>
      <c r="D57" s="529"/>
    </row>
    <row r="58">
      <c r="A58" s="539" t="s">
        <v>83</v>
      </c>
      <c r="B58" s="529"/>
      <c r="C58" s="529"/>
      <c r="D58" s="529"/>
    </row>
    <row r="59">
      <c r="A59" s="539" t="s">
        <v>84</v>
      </c>
      <c r="B59" s="529"/>
      <c r="C59" s="529"/>
      <c r="D59" s="529"/>
    </row>
    <row r="60">
      <c r="A60" s="539" t="s">
        <v>85</v>
      </c>
      <c r="B60" s="529"/>
      <c r="C60" s="529"/>
      <c r="D60" s="529"/>
    </row>
    <row r="61">
      <c r="A61" s="539" t="s">
        <v>86</v>
      </c>
      <c r="B61" s="529"/>
      <c r="C61" s="529"/>
      <c r="D61" s="529"/>
    </row>
    <row r="62">
      <c r="A62" s="539" t="s">
        <v>87</v>
      </c>
      <c r="B62" s="529"/>
      <c r="C62" s="529"/>
      <c r="D62" s="529"/>
    </row>
    <row r="63">
      <c r="A63" s="539" t="s">
        <v>88</v>
      </c>
      <c r="B63" s="529"/>
      <c r="C63" s="529"/>
      <c r="D63" s="529"/>
    </row>
    <row r="64">
      <c r="A64" s="540" t="s">
        <v>89</v>
      </c>
      <c r="B64" s="529"/>
      <c r="C64" s="529"/>
      <c r="D64" s="529"/>
    </row>
    <row r="65">
      <c r="A65" s="539" t="s">
        <v>90</v>
      </c>
      <c r="B65" s="529"/>
      <c r="C65" s="529"/>
      <c r="D65" s="529"/>
    </row>
    <row r="66">
      <c r="A66" s="539" t="s">
        <v>91</v>
      </c>
      <c r="B66" s="529"/>
      <c r="C66" s="529"/>
      <c r="D66" s="529"/>
    </row>
    <row r="67">
      <c r="A67" s="539" t="s">
        <v>92</v>
      </c>
      <c r="B67" s="529"/>
      <c r="C67" s="529"/>
      <c r="D67" s="529"/>
    </row>
    <row r="68">
      <c r="A68" s="539" t="s">
        <v>93</v>
      </c>
      <c r="B68" s="529"/>
      <c r="C68" s="529"/>
      <c r="D68" s="529"/>
    </row>
    <row r="69">
      <c r="A69" s="539" t="s">
        <v>94</v>
      </c>
      <c r="B69" s="529"/>
      <c r="C69" s="529"/>
      <c r="D69" s="529"/>
    </row>
    <row r="70">
      <c r="A70" s="539" t="s">
        <v>95</v>
      </c>
      <c r="B70" s="529"/>
      <c r="C70" s="529"/>
      <c r="D70" s="529"/>
    </row>
    <row r="71">
      <c r="A71" s="539" t="s">
        <v>96</v>
      </c>
      <c r="B71" s="529"/>
      <c r="C71" s="529"/>
      <c r="D71" s="529"/>
    </row>
    <row r="72">
      <c r="A72" s="539" t="s">
        <v>97</v>
      </c>
      <c r="B72" s="529"/>
      <c r="C72" s="529"/>
      <c r="D72" s="529"/>
    </row>
    <row r="73">
      <c r="A73" s="539" t="s">
        <v>98</v>
      </c>
      <c r="B73" s="529"/>
      <c r="C73" s="529"/>
      <c r="D73" s="529"/>
    </row>
  </sheetData>
  <mergeCells count="2">
    <mergeCell ref="A1:D1"/>
    <mergeCell ref="A2:D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7.0"/>
    <col customWidth="1" min="3" max="3" width="17.63"/>
    <col customWidth="1" min="4" max="4" width="12.75"/>
    <col customWidth="1" min="5" max="5" width="10.38"/>
    <col customWidth="1" min="6" max="6" width="15.13"/>
    <col customWidth="1" min="7" max="7" width="11.88"/>
    <col customWidth="1" min="8" max="8" width="11.5"/>
    <col customWidth="1" min="9" max="10" width="37.0"/>
  </cols>
  <sheetData>
    <row r="1">
      <c r="A1" s="63" t="s">
        <v>124</v>
      </c>
      <c r="B1" s="64"/>
      <c r="C1" s="64"/>
      <c r="D1" s="64"/>
      <c r="E1" s="64"/>
      <c r="F1" s="65"/>
      <c r="G1" s="541"/>
      <c r="H1" s="542"/>
      <c r="I1" s="542"/>
      <c r="J1" s="542"/>
    </row>
    <row r="2">
      <c r="A2" s="63" t="s">
        <v>125</v>
      </c>
      <c r="B2" s="64"/>
      <c r="C2" s="64"/>
      <c r="D2" s="64"/>
      <c r="E2" s="64"/>
      <c r="F2" s="65"/>
      <c r="G2" s="541"/>
      <c r="H2" s="542"/>
      <c r="I2" s="542"/>
      <c r="J2" s="542"/>
    </row>
    <row r="3">
      <c r="A3" s="543" t="s">
        <v>118</v>
      </c>
      <c r="B3" s="543"/>
      <c r="C3" s="544">
        <v>0.3</v>
      </c>
      <c r="D3" s="545"/>
      <c r="E3" s="545"/>
      <c r="F3" s="546"/>
      <c r="G3" s="547"/>
      <c r="H3" s="548"/>
      <c r="I3" s="549"/>
      <c r="J3" s="549"/>
    </row>
    <row r="4">
      <c r="A4" s="497"/>
      <c r="B4" s="550" t="s">
        <v>126</v>
      </c>
      <c r="D4" s="551" t="s">
        <v>127</v>
      </c>
      <c r="E4" s="552"/>
      <c r="F4" s="552"/>
      <c r="G4" s="552"/>
      <c r="H4" s="553"/>
      <c r="I4" s="554"/>
      <c r="J4" s="554"/>
    </row>
    <row r="5">
      <c r="A5" s="497"/>
      <c r="B5" s="555"/>
      <c r="C5" s="556"/>
      <c r="D5" s="555" t="s">
        <v>128</v>
      </c>
      <c r="F5" s="557" t="s">
        <v>129</v>
      </c>
      <c r="H5" s="554"/>
      <c r="I5" s="554"/>
      <c r="J5" s="554"/>
    </row>
    <row r="6">
      <c r="A6" s="497" t="s">
        <v>130</v>
      </c>
      <c r="B6" s="555">
        <v>0.0</v>
      </c>
      <c r="C6" s="556"/>
      <c r="D6" s="555"/>
      <c r="F6" s="557">
        <v>500000.0</v>
      </c>
      <c r="G6" s="497" t="s">
        <v>131</v>
      </c>
      <c r="H6" s="558">
        <f>SUM(F6+D7)</f>
        <v>3762093.163</v>
      </c>
      <c r="I6" s="554"/>
      <c r="J6" s="554"/>
    </row>
    <row r="7">
      <c r="A7" s="497" t="s">
        <v>128</v>
      </c>
      <c r="B7" s="555">
        <v>5000000.0</v>
      </c>
      <c r="C7" s="556"/>
      <c r="D7" s="559">
        <f>SUM('Monthly BrakeDown'!H24)</f>
        <v>3262093.163</v>
      </c>
      <c r="E7" s="497" t="s">
        <v>131</v>
      </c>
      <c r="F7" s="557">
        <f>SUM(F6/3)</f>
        <v>166666.6667</v>
      </c>
      <c r="G7" s="497" t="s">
        <v>132</v>
      </c>
      <c r="H7" s="558">
        <f>SUM(H6/3)</f>
        <v>1254031.054</v>
      </c>
      <c r="I7" s="554"/>
      <c r="J7" s="554"/>
    </row>
    <row r="8">
      <c r="A8" s="497" t="s">
        <v>133</v>
      </c>
      <c r="B8" s="555">
        <f>SUM(B7)</f>
        <v>5000000</v>
      </c>
      <c r="C8" s="556"/>
      <c r="D8" s="559">
        <f>SUM(D7)</f>
        <v>3262093.163</v>
      </c>
      <c r="F8" s="560"/>
      <c r="H8" s="554"/>
      <c r="J8" s="554"/>
    </row>
    <row r="9">
      <c r="A9" s="561" t="s">
        <v>134</v>
      </c>
      <c r="B9" s="515">
        <f>SUM(B8/6)</f>
        <v>833333.3333</v>
      </c>
      <c r="C9" s="562"/>
      <c r="D9" s="559">
        <f>SUM(D8/3)</f>
        <v>1087364.388</v>
      </c>
      <c r="E9" s="497" t="s">
        <v>132</v>
      </c>
      <c r="F9" s="560"/>
      <c r="G9" s="563"/>
      <c r="H9" s="564"/>
      <c r="J9" s="564"/>
    </row>
    <row r="10">
      <c r="A10" s="565" t="s">
        <v>51</v>
      </c>
      <c r="B10" s="515">
        <f>SUM(B9*C10)</f>
        <v>66666.66667</v>
      </c>
      <c r="C10" s="566">
        <v>0.08</v>
      </c>
      <c r="D10" s="559">
        <f>SUM('Monthly BrakeDown'!I27)</f>
        <v>266666.6667</v>
      </c>
      <c r="E10" s="498">
        <v>0.1</v>
      </c>
      <c r="F10" s="560">
        <f>SUM(F7*G10)</f>
        <v>13333.33333</v>
      </c>
      <c r="G10" s="566">
        <v>0.08</v>
      </c>
      <c r="H10" s="567">
        <f t="shared" ref="H10:H16" si="1">SUM(D10+F10)</f>
        <v>280000</v>
      </c>
      <c r="I10" s="566"/>
      <c r="J10" s="564"/>
    </row>
    <row r="11">
      <c r="A11" s="565" t="s">
        <v>52</v>
      </c>
      <c r="B11" s="515">
        <f>SUM(B9*C11)</f>
        <v>66666.66667</v>
      </c>
      <c r="C11" s="566">
        <v>0.08</v>
      </c>
      <c r="D11" s="559">
        <f>SUM('Monthly BrakeDown'!I28)</f>
        <v>300000</v>
      </c>
      <c r="E11" s="498">
        <v>0.12</v>
      </c>
      <c r="F11" s="560">
        <f>SUM(F7*G11)</f>
        <v>13333.33333</v>
      </c>
      <c r="G11" s="566">
        <v>0.08</v>
      </c>
      <c r="H11" s="567">
        <f t="shared" si="1"/>
        <v>313333.3333</v>
      </c>
      <c r="J11" s="564"/>
    </row>
    <row r="12">
      <c r="A12" s="568" t="s">
        <v>53</v>
      </c>
      <c r="B12" s="515">
        <f>SUM(B9*C12)</f>
        <v>66666.66667</v>
      </c>
      <c r="C12" s="566">
        <v>0.08</v>
      </c>
      <c r="D12" s="559">
        <f>SUM('Monthly BrakeDown'!I29)</f>
        <v>300000</v>
      </c>
      <c r="E12" s="498">
        <v>0.1</v>
      </c>
      <c r="F12" s="560">
        <f>SUM(F7*G12)</f>
        <v>13333.33333</v>
      </c>
      <c r="G12" s="566">
        <v>0.08</v>
      </c>
      <c r="H12" s="567">
        <f t="shared" si="1"/>
        <v>313333.3333</v>
      </c>
      <c r="J12" s="564"/>
    </row>
    <row r="13">
      <c r="A13" s="569" t="s">
        <v>54</v>
      </c>
      <c r="B13" s="515">
        <f>SUM(B9*C13)</f>
        <v>166666.6667</v>
      </c>
      <c r="C13" s="566">
        <v>0.2</v>
      </c>
      <c r="D13" s="559">
        <f>SUM('Monthly BrakeDown'!I30)</f>
        <v>333333.3333</v>
      </c>
      <c r="E13" s="498">
        <f>SUM(D13/D9)</f>
        <v>0.3065516373</v>
      </c>
      <c r="F13" s="560">
        <f>SUM(F7*G13)</f>
        <v>33333.33333</v>
      </c>
      <c r="G13" s="570">
        <v>0.2</v>
      </c>
      <c r="H13" s="567">
        <f t="shared" si="1"/>
        <v>366666.6667</v>
      </c>
      <c r="J13" s="564"/>
    </row>
    <row r="14">
      <c r="A14" s="571" t="s">
        <v>55</v>
      </c>
      <c r="B14" s="515">
        <f>SUM(B9*C14)</f>
        <v>158333.3333</v>
      </c>
      <c r="C14" s="566">
        <v>0.19</v>
      </c>
      <c r="D14" s="559">
        <f>SUM('Monthly BrakeDown'!I31)</f>
        <v>474316.8321</v>
      </c>
      <c r="E14" s="498">
        <v>0.13</v>
      </c>
      <c r="F14" s="560">
        <f>SUM(F7*G14)</f>
        <v>31666.66667</v>
      </c>
      <c r="G14" s="566">
        <v>0.19</v>
      </c>
      <c r="H14" s="567">
        <f t="shared" si="1"/>
        <v>505983.4988</v>
      </c>
      <c r="J14" s="564"/>
    </row>
    <row r="15">
      <c r="A15" s="572" t="s">
        <v>56</v>
      </c>
      <c r="B15" s="515">
        <f>SUM(B9*C15)</f>
        <v>300000</v>
      </c>
      <c r="C15" s="566">
        <v>0.36</v>
      </c>
      <c r="D15" s="559">
        <f>SUM('Monthly BrakeDown'!I32)</f>
        <v>1879917.494</v>
      </c>
      <c r="E15" s="498">
        <f>SUM(D15/D13)</f>
        <v>5.639752481</v>
      </c>
      <c r="F15" s="560">
        <f>SUM(F7*G15)</f>
        <v>60000</v>
      </c>
      <c r="G15" s="566">
        <v>0.36</v>
      </c>
      <c r="H15" s="567">
        <f t="shared" si="1"/>
        <v>1939917.494</v>
      </c>
      <c r="J15" s="564"/>
    </row>
    <row r="16">
      <c r="A16" s="573" t="s">
        <v>135</v>
      </c>
      <c r="B16" s="515">
        <f>SUM(B13*C16)</f>
        <v>1666.666667</v>
      </c>
      <c r="C16" s="566">
        <v>0.01</v>
      </c>
      <c r="D16" s="559">
        <f>SUM('Monthly BrakeDown'!I33)</f>
        <v>0</v>
      </c>
      <c r="E16" s="498">
        <v>0.05</v>
      </c>
      <c r="F16" s="560">
        <f>SUM(F7*G16)</f>
        <v>1666.666667</v>
      </c>
      <c r="G16" s="566">
        <v>0.01</v>
      </c>
      <c r="H16" s="567">
        <f t="shared" si="1"/>
        <v>1666.666667</v>
      </c>
      <c r="I16" s="564"/>
      <c r="J16" s="564"/>
    </row>
    <row r="17">
      <c r="A17" s="573"/>
      <c r="B17" s="514"/>
      <c r="C17" s="562"/>
      <c r="D17" s="559"/>
      <c r="F17" s="560"/>
      <c r="G17" s="563"/>
      <c r="H17" s="564"/>
      <c r="I17" s="564"/>
      <c r="J17" s="564"/>
    </row>
    <row r="18">
      <c r="A18" s="573"/>
      <c r="B18" s="514"/>
      <c r="C18" s="562"/>
      <c r="F18" s="560"/>
      <c r="G18" s="563"/>
      <c r="H18" s="564"/>
      <c r="I18" s="564"/>
      <c r="J18" s="564"/>
    </row>
    <row r="19">
      <c r="A19" s="573" t="s">
        <v>136</v>
      </c>
      <c r="B19" s="514">
        <f>SUM('Customer Acquisition'!J33)</f>
        <v>23295.16667</v>
      </c>
      <c r="C19" s="562"/>
      <c r="D19" s="574"/>
      <c r="E19" s="574"/>
      <c r="F19" s="575"/>
      <c r="G19" s="563"/>
      <c r="H19" s="564"/>
      <c r="I19" s="564"/>
      <c r="J19" s="564"/>
    </row>
    <row r="20">
      <c r="A20" s="573" t="s">
        <v>137</v>
      </c>
      <c r="B20" s="576">
        <f>SUM('Income Statement'!D3)</f>
        <v>650</v>
      </c>
      <c r="C20" s="562"/>
      <c r="D20" s="574"/>
      <c r="E20" s="574"/>
      <c r="F20" s="575"/>
      <c r="G20" s="563"/>
      <c r="H20" s="564"/>
      <c r="I20" s="564"/>
      <c r="J20" s="564"/>
    </row>
    <row r="21">
      <c r="A21" s="573" t="s">
        <v>138</v>
      </c>
      <c r="B21" s="566">
        <f>SUM('Income Statement'!D4)</f>
        <v>0.3</v>
      </c>
      <c r="C21" s="562"/>
      <c r="D21" s="574"/>
      <c r="E21" s="574"/>
      <c r="F21" s="575"/>
      <c r="G21" s="563"/>
      <c r="H21" s="564"/>
      <c r="I21" s="564"/>
      <c r="J21" s="564"/>
    </row>
    <row r="22">
      <c r="A22" s="577" t="s">
        <v>139</v>
      </c>
      <c r="B22" s="577" t="s">
        <v>140</v>
      </c>
      <c r="C22" s="578" t="s">
        <v>104</v>
      </c>
      <c r="D22" s="579" t="s">
        <v>141</v>
      </c>
      <c r="E22" s="573" t="s">
        <v>131</v>
      </c>
      <c r="F22" s="580" t="s">
        <v>142</v>
      </c>
      <c r="G22" s="581"/>
      <c r="H22" s="582"/>
      <c r="I22" s="582"/>
      <c r="J22" s="582"/>
    </row>
    <row r="23">
      <c r="A23" s="583" t="s">
        <v>143</v>
      </c>
      <c r="B23" s="584">
        <f>SUM(B20)</f>
        <v>650</v>
      </c>
      <c r="C23" s="585">
        <f t="shared" ref="C23:C24" si="2">SUM(B23*0.05)</f>
        <v>32.5</v>
      </c>
      <c r="D23" s="586">
        <v>5.0</v>
      </c>
      <c r="E23" s="587">
        <f t="shared" ref="E23:E27" si="3">SUM(C23*D23)</f>
        <v>162.5</v>
      </c>
      <c r="F23" s="575">
        <f>SUM(B23*D23)</f>
        <v>3250</v>
      </c>
      <c r="G23" s="581"/>
      <c r="H23" s="588"/>
    </row>
    <row r="24">
      <c r="A24" s="583" t="s">
        <v>44</v>
      </c>
      <c r="B24" s="584">
        <f>SUM(B20)</f>
        <v>650</v>
      </c>
      <c r="C24" s="585">
        <f t="shared" si="2"/>
        <v>32.5</v>
      </c>
      <c r="D24" s="589">
        <v>2.0</v>
      </c>
      <c r="E24" s="587">
        <f t="shared" si="3"/>
        <v>65</v>
      </c>
      <c r="F24" s="575"/>
      <c r="G24" s="581"/>
      <c r="H24" s="590"/>
      <c r="I24" s="591"/>
    </row>
    <row r="25">
      <c r="A25" s="583" t="s">
        <v>45</v>
      </c>
      <c r="B25" s="583"/>
      <c r="C25" s="585">
        <v>1500.0</v>
      </c>
      <c r="D25" s="592">
        <v>1.0</v>
      </c>
      <c r="E25" s="587">
        <f t="shared" si="3"/>
        <v>1500</v>
      </c>
      <c r="F25" s="575"/>
      <c r="G25" s="593"/>
      <c r="H25" s="590"/>
      <c r="I25" s="594"/>
    </row>
    <row r="26">
      <c r="A26" s="256" t="s">
        <v>46</v>
      </c>
      <c r="B26" s="256">
        <v>50.0</v>
      </c>
      <c r="C26" s="585">
        <f>SUM(B26*0.1)</f>
        <v>5</v>
      </c>
      <c r="D26" s="586">
        <v>2.0</v>
      </c>
      <c r="E26" s="587">
        <f t="shared" si="3"/>
        <v>10</v>
      </c>
      <c r="F26" s="595"/>
      <c r="G26" s="596"/>
      <c r="H26" s="590"/>
      <c r="I26" s="594"/>
    </row>
    <row r="27">
      <c r="A27" s="583" t="s">
        <v>144</v>
      </c>
      <c r="B27" s="583"/>
      <c r="C27" s="585">
        <v>49.0</v>
      </c>
      <c r="D27" s="586">
        <v>1.0</v>
      </c>
      <c r="E27" s="587">
        <f t="shared" si="3"/>
        <v>49</v>
      </c>
      <c r="F27" s="575"/>
      <c r="G27" s="597"/>
      <c r="H27" s="598"/>
      <c r="I27" s="599"/>
      <c r="J27" s="581"/>
    </row>
    <row r="28">
      <c r="A28" s="583" t="s">
        <v>106</v>
      </c>
      <c r="B28" s="583"/>
      <c r="C28" s="600"/>
      <c r="D28" s="601"/>
      <c r="E28" s="581"/>
      <c r="F28" s="575"/>
      <c r="G28" s="581"/>
      <c r="H28" s="598"/>
      <c r="I28" s="602"/>
      <c r="J28" s="581"/>
    </row>
    <row r="29">
      <c r="A29" s="603" t="s">
        <v>107</v>
      </c>
      <c r="B29" s="603"/>
      <c r="C29" s="604">
        <v>500.0</v>
      </c>
      <c r="D29" s="583">
        <v>2.0</v>
      </c>
      <c r="E29" s="573" t="s">
        <v>145</v>
      </c>
      <c r="F29" s="575">
        <f>SUM('Monthly BrakeDown'!Q18*0.1)</f>
        <v>11524.88433</v>
      </c>
      <c r="G29" s="581">
        <f>SUM('Monthly BrakeDown'!R18*0.2)</f>
        <v>129753.032</v>
      </c>
      <c r="H29" s="598"/>
      <c r="I29" s="602"/>
      <c r="J29" s="581"/>
    </row>
    <row r="30">
      <c r="A30" s="583"/>
      <c r="B30" s="583"/>
      <c r="C30" s="600"/>
      <c r="D30" s="601"/>
      <c r="E30" s="581"/>
      <c r="F30" s="575"/>
      <c r="G30" s="581"/>
      <c r="H30" s="598"/>
      <c r="I30" s="602"/>
      <c r="J30" s="581"/>
    </row>
    <row r="31">
      <c r="A31" s="605" t="s">
        <v>49</v>
      </c>
      <c r="B31" s="605"/>
      <c r="C31" s="606" t="s">
        <v>26</v>
      </c>
      <c r="D31" s="606" t="s">
        <v>27</v>
      </c>
      <c r="E31" s="606" t="s">
        <v>28</v>
      </c>
      <c r="F31" s="607" t="s">
        <v>146</v>
      </c>
      <c r="G31" s="608"/>
      <c r="H31" s="598"/>
      <c r="I31" s="602"/>
      <c r="J31" s="581"/>
    </row>
    <row r="32">
      <c r="A32" s="609" t="s">
        <v>54</v>
      </c>
      <c r="B32" s="610"/>
      <c r="C32" s="611">
        <f>SUM('Monthly BrakeDown'!P30)</f>
        <v>6583333.333</v>
      </c>
      <c r="D32" s="611">
        <f>SUM('Monthly BrakeDown'!Q30)</f>
        <v>158000000</v>
      </c>
      <c r="E32" s="611">
        <f>SUM('Monthly BrakeDown'!R30)</f>
        <v>316000000</v>
      </c>
      <c r="F32" s="612"/>
      <c r="G32" s="613"/>
      <c r="H32" s="598"/>
      <c r="I32" s="602"/>
      <c r="J32" s="581"/>
    </row>
    <row r="33">
      <c r="A33" s="610" t="s">
        <v>56</v>
      </c>
      <c r="B33" s="610"/>
      <c r="C33" s="611">
        <f>SUM('Monthly BrakeDown'!P32)</f>
        <v>36554872.93</v>
      </c>
      <c r="D33" s="611">
        <f>SUM('Monthly BrakeDown'!Q32)</f>
        <v>877316950.4</v>
      </c>
      <c r="E33" s="611">
        <f>SUM('Monthly BrakeDown'!R32)</f>
        <v>1754633901</v>
      </c>
      <c r="F33" s="614"/>
      <c r="G33" s="615"/>
      <c r="H33" s="598"/>
      <c r="I33" s="602"/>
      <c r="J33" s="581"/>
    </row>
    <row r="34">
      <c r="A34" s="616" t="s">
        <v>55</v>
      </c>
      <c r="B34" s="610"/>
      <c r="C34" s="611">
        <f>SUM('Monthly BrakeDown'!P31)</f>
        <v>16494692.6</v>
      </c>
      <c r="D34" s="611">
        <f>SUM('Monthly BrakeDown'!Q31)</f>
        <v>395872622.5</v>
      </c>
      <c r="E34" s="611">
        <f>SUM('Monthly BrakeDown'!R31)</f>
        <v>791745244.9</v>
      </c>
      <c r="F34" s="614"/>
      <c r="G34" s="617"/>
      <c r="H34" s="598"/>
      <c r="I34" s="602"/>
      <c r="J34" s="581"/>
    </row>
    <row r="35">
      <c r="A35" s="609" t="s">
        <v>53</v>
      </c>
      <c r="B35" s="610"/>
      <c r="C35" s="611">
        <f>SUM('Monthly BrakeDown'!P29)</f>
        <v>4783333.333</v>
      </c>
      <c r="D35" s="611">
        <f>SUM('Monthly BrakeDown'!Q29)</f>
        <v>114800000</v>
      </c>
      <c r="E35" s="611">
        <f>SUM('Monthly BrakeDown'!R29)</f>
        <v>229600000</v>
      </c>
      <c r="F35" s="614"/>
      <c r="G35" s="617"/>
      <c r="H35" s="574"/>
      <c r="I35" s="574"/>
      <c r="J35" s="581"/>
    </row>
    <row r="36">
      <c r="A36" s="610" t="s">
        <v>52</v>
      </c>
      <c r="B36" s="610"/>
      <c r="C36" s="611">
        <f>SUM('Monthly BrakeDown'!P28)</f>
        <v>4783333.333</v>
      </c>
      <c r="D36" s="611">
        <f>SUM('Monthly BrakeDown'!Q28)</f>
        <v>114800000</v>
      </c>
      <c r="E36" s="611">
        <f>SUM('Monthly BrakeDown'!R28)</f>
        <v>229600000</v>
      </c>
      <c r="F36" s="614"/>
      <c r="G36" s="617"/>
      <c r="H36" s="574"/>
      <c r="I36" s="574"/>
      <c r="J36" s="581"/>
    </row>
    <row r="37">
      <c r="A37" s="610" t="s">
        <v>51</v>
      </c>
      <c r="B37" s="610"/>
      <c r="C37" s="611">
        <f>SUM('Monthly BrakeDown'!P27)</f>
        <v>25093333.33</v>
      </c>
      <c r="D37" s="611">
        <f>SUM('Monthly BrakeDown'!Q27)</f>
        <v>602240000</v>
      </c>
      <c r="E37" s="611">
        <f>SUM('Monthly BrakeDown'!R27)</f>
        <v>602240000</v>
      </c>
      <c r="F37" s="614"/>
      <c r="G37" s="617"/>
      <c r="H37" s="618"/>
      <c r="I37" s="618"/>
      <c r="J37" s="618"/>
    </row>
    <row r="38">
      <c r="A38" s="609"/>
      <c r="B38" s="609"/>
      <c r="C38" s="619"/>
      <c r="D38" s="620"/>
      <c r="E38" s="620"/>
      <c r="F38" s="621"/>
      <c r="G38" s="622"/>
      <c r="H38" s="623"/>
      <c r="I38" s="623"/>
      <c r="J38" s="623"/>
    </row>
    <row r="39">
      <c r="A39" s="624" t="s">
        <v>147</v>
      </c>
      <c r="B39" s="624"/>
      <c r="C39" s="625">
        <f>SUM('Income Statement'!B42)</f>
        <v>23618869.32</v>
      </c>
      <c r="D39" s="626">
        <f>SUM('Income Statement'!C42)</f>
        <v>180444122.2</v>
      </c>
      <c r="E39" s="626">
        <f>SUM('Income Statement'!D42)</f>
        <v>701267907.7</v>
      </c>
      <c r="F39" s="621"/>
      <c r="G39" s="622"/>
      <c r="H39" s="627"/>
      <c r="I39" s="627"/>
      <c r="J39" s="627"/>
    </row>
    <row r="40">
      <c r="A40" s="497" t="s">
        <v>35</v>
      </c>
      <c r="B40" s="628"/>
      <c r="C40" s="619"/>
      <c r="D40" s="620"/>
      <c r="E40" s="620"/>
      <c r="F40" s="621"/>
      <c r="G40" s="622"/>
      <c r="H40" s="627"/>
      <c r="I40" s="627"/>
      <c r="J40" s="627"/>
    </row>
    <row r="41">
      <c r="A41" s="628"/>
      <c r="B41" s="628"/>
      <c r="C41" s="629"/>
      <c r="D41" s="630"/>
      <c r="E41" s="630"/>
      <c r="F41" s="621"/>
      <c r="G41" s="622"/>
      <c r="H41" s="627"/>
      <c r="I41" s="627"/>
      <c r="J41" s="627"/>
    </row>
    <row r="42">
      <c r="A42" s="628"/>
      <c r="B42" s="628"/>
      <c r="C42" s="629"/>
      <c r="D42" s="630"/>
      <c r="E42" s="630"/>
      <c r="F42" s="621"/>
      <c r="G42" s="622"/>
      <c r="H42" s="627"/>
      <c r="I42" s="627"/>
      <c r="J42" s="627"/>
    </row>
    <row r="43">
      <c r="A43" s="628"/>
      <c r="B43" s="628"/>
      <c r="C43" s="629"/>
      <c r="D43" s="631"/>
      <c r="E43" s="631"/>
      <c r="F43" s="621"/>
      <c r="G43" s="622"/>
      <c r="H43" s="627"/>
      <c r="I43" s="627"/>
      <c r="J43" s="627"/>
    </row>
    <row r="44">
      <c r="A44" s="628"/>
      <c r="B44" s="628"/>
      <c r="C44" s="629"/>
      <c r="D44" s="632"/>
      <c r="E44" s="632"/>
      <c r="F44" s="621"/>
      <c r="G44" s="622"/>
      <c r="H44" s="627"/>
      <c r="I44" s="627"/>
      <c r="J44" s="627"/>
    </row>
    <row r="45">
      <c r="A45" s="628"/>
      <c r="B45" s="628"/>
      <c r="C45" s="629"/>
      <c r="D45" s="631"/>
      <c r="E45" s="631"/>
      <c r="F45" s="621"/>
      <c r="G45" s="622"/>
      <c r="H45" s="633"/>
      <c r="I45" s="633"/>
      <c r="J45" s="633"/>
    </row>
    <row r="46">
      <c r="A46" s="628"/>
      <c r="B46" s="628"/>
      <c r="C46" s="629"/>
      <c r="D46" s="631"/>
      <c r="E46" s="631"/>
      <c r="F46" s="634"/>
      <c r="G46" s="635"/>
      <c r="H46" s="633"/>
      <c r="I46" s="633"/>
      <c r="J46" s="633"/>
    </row>
    <row r="47">
      <c r="A47" s="628"/>
      <c r="B47" s="628"/>
      <c r="C47" s="629"/>
      <c r="D47" s="631"/>
      <c r="E47" s="631"/>
      <c r="F47" s="621"/>
      <c r="G47" s="622"/>
      <c r="H47" s="633"/>
      <c r="I47" s="633"/>
      <c r="J47" s="633"/>
    </row>
    <row r="48">
      <c r="A48" s="628"/>
      <c r="B48" s="628"/>
      <c r="C48" s="629"/>
      <c r="D48" s="631"/>
      <c r="E48" s="631"/>
      <c r="F48" s="621"/>
      <c r="G48" s="622"/>
      <c r="H48" s="633"/>
      <c r="I48" s="633"/>
      <c r="J48" s="633"/>
    </row>
    <row r="49">
      <c r="A49" s="628"/>
      <c r="B49" s="628"/>
      <c r="C49" s="636"/>
      <c r="D49" s="631"/>
      <c r="E49" s="631"/>
      <c r="F49" s="621"/>
      <c r="G49" s="622"/>
      <c r="H49" s="633"/>
      <c r="I49" s="633"/>
      <c r="J49" s="633"/>
    </row>
    <row r="50">
      <c r="A50" s="628"/>
      <c r="B50" s="628"/>
      <c r="C50" s="629"/>
      <c r="D50" s="637"/>
      <c r="E50" s="637"/>
      <c r="F50" s="621"/>
      <c r="G50" s="622"/>
      <c r="H50" s="633"/>
      <c r="I50" s="633"/>
      <c r="J50" s="633"/>
    </row>
    <row r="51">
      <c r="A51" s="628"/>
      <c r="B51" s="628"/>
      <c r="C51" s="629"/>
      <c r="D51" s="631"/>
      <c r="E51" s="631"/>
      <c r="F51" s="621"/>
      <c r="G51" s="638"/>
      <c r="H51" s="633"/>
      <c r="I51" s="633"/>
      <c r="J51" s="633"/>
    </row>
    <row r="52">
      <c r="A52" s="639"/>
      <c r="B52" s="639"/>
      <c r="C52" s="629"/>
      <c r="D52" s="637"/>
      <c r="E52" s="637"/>
      <c r="F52" s="640"/>
      <c r="G52" s="641"/>
      <c r="H52" s="642"/>
      <c r="I52" s="642"/>
      <c r="J52" s="642"/>
    </row>
    <row r="53">
      <c r="A53" s="642"/>
      <c r="B53" s="642"/>
      <c r="C53" s="643"/>
      <c r="D53" s="644"/>
      <c r="E53" s="644"/>
      <c r="F53" s="645"/>
      <c r="G53" s="646"/>
      <c r="H53" s="642"/>
      <c r="I53" s="642"/>
      <c r="J53" s="642"/>
    </row>
    <row r="54">
      <c r="A54" s="642"/>
      <c r="B54" s="642"/>
      <c r="C54" s="643"/>
      <c r="D54" s="644"/>
      <c r="E54" s="644"/>
      <c r="F54" s="645"/>
      <c r="G54" s="646"/>
      <c r="H54" s="642"/>
      <c r="I54" s="642"/>
      <c r="J54" s="642"/>
    </row>
    <row r="55">
      <c r="A55" s="642"/>
      <c r="B55" s="642"/>
      <c r="C55" s="643"/>
      <c r="D55" s="644"/>
      <c r="E55" s="644"/>
      <c r="F55" s="645"/>
      <c r="G55" s="646"/>
      <c r="H55" s="642"/>
      <c r="I55" s="642"/>
      <c r="J55" s="642"/>
    </row>
    <row r="56">
      <c r="A56" s="642"/>
      <c r="B56" s="642"/>
      <c r="C56" s="643"/>
      <c r="D56" s="644"/>
      <c r="E56" s="644"/>
      <c r="F56" s="645"/>
      <c r="G56" s="646"/>
      <c r="H56" s="642"/>
      <c r="I56" s="642"/>
      <c r="J56" s="642"/>
    </row>
  </sheetData>
  <mergeCells count="7">
    <mergeCell ref="A1:F1"/>
    <mergeCell ref="A2:F2"/>
    <mergeCell ref="B4:C4"/>
    <mergeCell ref="D4:H4"/>
    <mergeCell ref="D5:E5"/>
    <mergeCell ref="F5:G5"/>
    <mergeCell ref="H23:I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33.75"/>
    <col customWidth="1" min="3" max="3" width="31.0"/>
    <col customWidth="1" min="11" max="11" width="18.38"/>
  </cols>
  <sheetData>
    <row r="1">
      <c r="F1" s="497" t="s">
        <v>148</v>
      </c>
      <c r="G1" s="497" t="s">
        <v>149</v>
      </c>
      <c r="H1" s="497" t="s">
        <v>150</v>
      </c>
      <c r="I1" s="497" t="s">
        <v>86</v>
      </c>
      <c r="J1" s="497" t="s">
        <v>151</v>
      </c>
    </row>
    <row r="3">
      <c r="A3" s="497" t="s">
        <v>152</v>
      </c>
      <c r="B3" s="497" t="s">
        <v>153</v>
      </c>
      <c r="C3" s="497" t="s">
        <v>154</v>
      </c>
      <c r="D3" s="497">
        <v>100000.0</v>
      </c>
      <c r="E3" s="497">
        <v>1.0</v>
      </c>
      <c r="F3" s="497">
        <f t="shared" ref="F3:F13" si="1">SUM(D3*E3)</f>
        <v>100000</v>
      </c>
      <c r="G3" s="497">
        <v>1.0</v>
      </c>
      <c r="H3" s="647">
        <f t="shared" ref="H3:H8" si="2">SUM(F3*G3)</f>
        <v>100000</v>
      </c>
      <c r="I3" s="497">
        <v>300.0</v>
      </c>
      <c r="J3" s="647">
        <f t="shared" ref="J3:J8" si="3">SUM(H3/I3)</f>
        <v>333.3333333</v>
      </c>
    </row>
    <row r="4">
      <c r="C4" s="497" t="s">
        <v>155</v>
      </c>
      <c r="D4" s="497">
        <v>100000.0</v>
      </c>
      <c r="E4" s="497">
        <v>1.0</v>
      </c>
      <c r="F4" s="497">
        <f t="shared" si="1"/>
        <v>100000</v>
      </c>
      <c r="G4" s="497">
        <v>1.0</v>
      </c>
      <c r="H4" s="647">
        <f t="shared" si="2"/>
        <v>100000</v>
      </c>
      <c r="I4" s="497">
        <v>300.0</v>
      </c>
      <c r="J4" s="647">
        <f t="shared" si="3"/>
        <v>333.3333333</v>
      </c>
    </row>
    <row r="5">
      <c r="B5" s="497" t="s">
        <v>156</v>
      </c>
      <c r="C5" s="497" t="s">
        <v>157</v>
      </c>
      <c r="D5" s="497">
        <v>200000.0</v>
      </c>
      <c r="E5" s="497">
        <v>1.0</v>
      </c>
      <c r="F5" s="497">
        <f t="shared" si="1"/>
        <v>200000</v>
      </c>
      <c r="G5" s="497">
        <v>1.0</v>
      </c>
      <c r="H5" s="647">
        <f t="shared" si="2"/>
        <v>200000</v>
      </c>
      <c r="I5" s="647">
        <v>66.66666666666667</v>
      </c>
      <c r="J5" s="647">
        <f t="shared" si="3"/>
        <v>3000</v>
      </c>
    </row>
    <row r="6">
      <c r="C6" s="497" t="s">
        <v>158</v>
      </c>
      <c r="D6" s="497">
        <v>1000000.0</v>
      </c>
      <c r="E6" s="497">
        <v>1.0</v>
      </c>
      <c r="F6" s="497">
        <f t="shared" si="1"/>
        <v>1000000</v>
      </c>
      <c r="G6" s="497">
        <v>0.25</v>
      </c>
      <c r="H6" s="647">
        <f t="shared" si="2"/>
        <v>250000</v>
      </c>
      <c r="I6" s="647">
        <v>100.0</v>
      </c>
      <c r="J6" s="647">
        <f t="shared" si="3"/>
        <v>2500</v>
      </c>
    </row>
    <row r="7">
      <c r="C7" s="497" t="s">
        <v>159</v>
      </c>
      <c r="D7" s="497">
        <v>3000.0</v>
      </c>
      <c r="E7" s="497">
        <v>1.0</v>
      </c>
      <c r="F7" s="497">
        <f t="shared" si="1"/>
        <v>3000</v>
      </c>
      <c r="G7" s="497">
        <f>SUM(G5)</f>
        <v>1</v>
      </c>
      <c r="H7" s="647">
        <f t="shared" si="2"/>
        <v>3000</v>
      </c>
      <c r="I7" s="647">
        <v>30.0</v>
      </c>
      <c r="J7" s="647">
        <f t="shared" si="3"/>
        <v>100</v>
      </c>
    </row>
    <row r="8">
      <c r="C8" s="497" t="s">
        <v>160</v>
      </c>
      <c r="D8" s="497">
        <v>1000.0</v>
      </c>
      <c r="E8" s="497">
        <v>1.0</v>
      </c>
      <c r="F8" s="497">
        <f t="shared" si="1"/>
        <v>1000</v>
      </c>
      <c r="G8" s="497">
        <v>1.0</v>
      </c>
      <c r="H8" s="647">
        <f t="shared" si="2"/>
        <v>1000</v>
      </c>
      <c r="I8" s="647">
        <v>10.0</v>
      </c>
      <c r="J8" s="647">
        <f t="shared" si="3"/>
        <v>100</v>
      </c>
    </row>
    <row r="9">
      <c r="E9" s="497">
        <v>1.0</v>
      </c>
      <c r="F9" s="497">
        <f t="shared" si="1"/>
        <v>0</v>
      </c>
    </row>
    <row r="10">
      <c r="B10" s="497" t="s">
        <v>161</v>
      </c>
      <c r="C10" s="497" t="s">
        <v>162</v>
      </c>
      <c r="D10" s="497">
        <v>1500.0</v>
      </c>
      <c r="E10" s="497">
        <v>1.0</v>
      </c>
      <c r="F10" s="497">
        <f t="shared" si="1"/>
        <v>1500</v>
      </c>
      <c r="G10" s="648">
        <f>SUM('Monthly BrakeDown'!C18)</f>
        <v>142.5</v>
      </c>
      <c r="H10" s="647">
        <f t="shared" ref="H10:H13" si="4">SUM(F10*G10)</f>
        <v>213750</v>
      </c>
      <c r="I10" s="497">
        <v>50.0</v>
      </c>
      <c r="J10" s="647">
        <f t="shared" ref="J10:J13" si="5">SUM(H10/I10)</f>
        <v>4275</v>
      </c>
    </row>
    <row r="11">
      <c r="C11" s="497" t="s">
        <v>163</v>
      </c>
      <c r="D11" s="497">
        <v>300.0</v>
      </c>
      <c r="E11" s="497">
        <v>1.0</v>
      </c>
      <c r="F11" s="497">
        <f t="shared" si="1"/>
        <v>300</v>
      </c>
      <c r="G11" s="648">
        <f t="shared" ref="G11:G13" si="6">SUM(G10)</f>
        <v>142.5</v>
      </c>
      <c r="H11" s="647">
        <f t="shared" si="4"/>
        <v>42750</v>
      </c>
      <c r="I11" s="497">
        <v>50.0</v>
      </c>
      <c r="J11" s="647">
        <f t="shared" si="5"/>
        <v>855</v>
      </c>
    </row>
    <row r="12">
      <c r="C12" s="497" t="s">
        <v>164</v>
      </c>
      <c r="D12" s="497">
        <v>1000.0</v>
      </c>
      <c r="E12" s="497">
        <v>1.0</v>
      </c>
      <c r="F12" s="497">
        <f t="shared" si="1"/>
        <v>1000</v>
      </c>
      <c r="G12" s="648">
        <f t="shared" si="6"/>
        <v>142.5</v>
      </c>
      <c r="H12" s="647">
        <f t="shared" si="4"/>
        <v>142500</v>
      </c>
      <c r="I12" s="647">
        <v>100.0</v>
      </c>
      <c r="J12" s="647">
        <f t="shared" si="5"/>
        <v>1425</v>
      </c>
    </row>
    <row r="13">
      <c r="C13" s="497" t="s">
        <v>165</v>
      </c>
      <c r="D13" s="497">
        <v>50.0</v>
      </c>
      <c r="E13" s="497">
        <v>1.0</v>
      </c>
      <c r="F13" s="497">
        <f t="shared" si="1"/>
        <v>50</v>
      </c>
      <c r="G13" s="648">
        <f t="shared" si="6"/>
        <v>142.5</v>
      </c>
      <c r="H13" s="647">
        <f t="shared" si="4"/>
        <v>7125</v>
      </c>
      <c r="I13" s="647">
        <v>50.0</v>
      </c>
      <c r="J13" s="647">
        <f t="shared" si="5"/>
        <v>142.5</v>
      </c>
    </row>
    <row r="15">
      <c r="B15" s="497" t="s">
        <v>166</v>
      </c>
      <c r="C15" s="497" t="s">
        <v>167</v>
      </c>
      <c r="D15" s="497">
        <v>100.0</v>
      </c>
      <c r="E15" s="497">
        <v>1.0</v>
      </c>
      <c r="F15" s="497">
        <f>SUM(D15*E15)</f>
        <v>100</v>
      </c>
      <c r="G15" s="497">
        <v>1.0</v>
      </c>
      <c r="H15" s="647">
        <f>SUM(F15*G15)</f>
        <v>100</v>
      </c>
      <c r="I15" s="647">
        <v>100.0</v>
      </c>
      <c r="J15" s="647">
        <f>SUM(H15/I15)</f>
        <v>1</v>
      </c>
    </row>
    <row r="17">
      <c r="B17" s="497" t="s">
        <v>168</v>
      </c>
      <c r="C17" s="497" t="s">
        <v>169</v>
      </c>
      <c r="D17" s="497">
        <v>1000.0</v>
      </c>
      <c r="E17" s="497">
        <v>1.0</v>
      </c>
      <c r="F17" s="497">
        <f t="shared" ref="F17:F30" si="7">SUM(D17*E17)</f>
        <v>1000</v>
      </c>
      <c r="G17" s="497">
        <f>SUM(G5*100)</f>
        <v>100</v>
      </c>
      <c r="H17" s="647">
        <f t="shared" ref="H17:H28" si="8">SUM(F17*G17)</f>
        <v>100000</v>
      </c>
      <c r="I17" s="647">
        <v>100.0</v>
      </c>
      <c r="J17" s="647">
        <f t="shared" ref="J17:J28" si="9">SUM(H17/I17)</f>
        <v>1000</v>
      </c>
    </row>
    <row r="18">
      <c r="C18" s="497" t="s">
        <v>170</v>
      </c>
      <c r="D18" s="497">
        <v>1000.0</v>
      </c>
      <c r="E18" s="497">
        <v>1.0</v>
      </c>
      <c r="F18" s="497">
        <f t="shared" si="7"/>
        <v>1000</v>
      </c>
      <c r="G18" s="497">
        <f>SUM(G5*100)</f>
        <v>100</v>
      </c>
      <c r="H18" s="647">
        <f t="shared" si="8"/>
        <v>100000</v>
      </c>
      <c r="I18" s="647">
        <v>100.0</v>
      </c>
      <c r="J18" s="647">
        <f t="shared" si="9"/>
        <v>1000</v>
      </c>
    </row>
    <row r="19">
      <c r="C19" s="497" t="s">
        <v>171</v>
      </c>
      <c r="D19" s="497">
        <v>5000.0</v>
      </c>
      <c r="E19" s="497">
        <v>1.0</v>
      </c>
      <c r="F19" s="497">
        <f t="shared" si="7"/>
        <v>5000</v>
      </c>
      <c r="G19" s="497">
        <v>10.0</v>
      </c>
      <c r="H19" s="647">
        <f t="shared" si="8"/>
        <v>50000</v>
      </c>
      <c r="I19" s="647">
        <v>100.0</v>
      </c>
      <c r="J19" s="647">
        <f t="shared" si="9"/>
        <v>500</v>
      </c>
    </row>
    <row r="20">
      <c r="B20" s="497" t="s">
        <v>172</v>
      </c>
      <c r="C20" s="497" t="s">
        <v>173</v>
      </c>
      <c r="D20" s="497">
        <v>100000.0</v>
      </c>
      <c r="E20" s="497">
        <v>1.0</v>
      </c>
      <c r="F20" s="497">
        <f t="shared" si="7"/>
        <v>100000</v>
      </c>
      <c r="G20" s="497">
        <v>1.0</v>
      </c>
      <c r="H20" s="647">
        <f t="shared" si="8"/>
        <v>100000</v>
      </c>
      <c r="I20" s="497">
        <v>200.0</v>
      </c>
      <c r="J20" s="647">
        <f t="shared" si="9"/>
        <v>500</v>
      </c>
      <c r="K20" s="497" t="s">
        <v>174</v>
      </c>
    </row>
    <row r="21">
      <c r="C21" s="497" t="s">
        <v>175</v>
      </c>
      <c r="D21" s="497">
        <v>100000.0</v>
      </c>
      <c r="E21" s="497">
        <v>1.0</v>
      </c>
      <c r="F21" s="497">
        <f t="shared" si="7"/>
        <v>100000</v>
      </c>
      <c r="G21" s="497">
        <v>1.0</v>
      </c>
      <c r="H21" s="647">
        <f t="shared" si="8"/>
        <v>100000</v>
      </c>
      <c r="I21" s="647">
        <v>100.0</v>
      </c>
      <c r="J21" s="647">
        <f t="shared" si="9"/>
        <v>1000</v>
      </c>
    </row>
    <row r="22">
      <c r="C22" s="497" t="s">
        <v>176</v>
      </c>
      <c r="D22" s="497">
        <v>100000.0</v>
      </c>
      <c r="E22" s="497">
        <v>1.0</v>
      </c>
      <c r="F22" s="497">
        <f t="shared" si="7"/>
        <v>100000</v>
      </c>
      <c r="G22" s="497">
        <v>1.0</v>
      </c>
      <c r="H22" s="647">
        <f t="shared" si="8"/>
        <v>100000</v>
      </c>
      <c r="I22" s="647">
        <v>100.0</v>
      </c>
      <c r="J22" s="647">
        <f t="shared" si="9"/>
        <v>1000</v>
      </c>
    </row>
    <row r="23">
      <c r="B23" s="497" t="s">
        <v>177</v>
      </c>
      <c r="C23" s="497" t="s">
        <v>178</v>
      </c>
      <c r="D23" s="497">
        <v>500.0</v>
      </c>
      <c r="E23" s="497">
        <v>1.0</v>
      </c>
      <c r="F23" s="497">
        <f t="shared" si="7"/>
        <v>500</v>
      </c>
      <c r="G23" s="497">
        <v>30.0</v>
      </c>
      <c r="H23" s="647">
        <f t="shared" si="8"/>
        <v>15000</v>
      </c>
      <c r="I23" s="647">
        <v>500.0</v>
      </c>
      <c r="J23" s="647">
        <f t="shared" si="9"/>
        <v>30</v>
      </c>
    </row>
    <row r="24">
      <c r="C24" s="497" t="s">
        <v>179</v>
      </c>
      <c r="D24" s="497">
        <v>100.0</v>
      </c>
      <c r="E24" s="497">
        <v>1.0</v>
      </c>
      <c r="F24" s="497">
        <f t="shared" si="7"/>
        <v>100</v>
      </c>
      <c r="G24" s="497">
        <f>SUM(G23*20)</f>
        <v>600</v>
      </c>
      <c r="H24" s="647">
        <f t="shared" si="8"/>
        <v>60000</v>
      </c>
      <c r="I24" s="647">
        <v>100.0</v>
      </c>
      <c r="J24" s="647">
        <f t="shared" si="9"/>
        <v>600</v>
      </c>
    </row>
    <row r="25">
      <c r="C25" s="497" t="s">
        <v>180</v>
      </c>
      <c r="D25" s="497">
        <v>100.0</v>
      </c>
      <c r="E25" s="497">
        <v>1.0</v>
      </c>
      <c r="F25" s="497">
        <f t="shared" si="7"/>
        <v>100</v>
      </c>
      <c r="G25" s="647">
        <f>SUM(G24)</f>
        <v>600</v>
      </c>
      <c r="H25" s="647">
        <f t="shared" si="8"/>
        <v>60000</v>
      </c>
      <c r="I25" s="647">
        <v>100.0</v>
      </c>
      <c r="J25" s="647">
        <f t="shared" si="9"/>
        <v>600</v>
      </c>
    </row>
    <row r="26">
      <c r="B26" s="497" t="s">
        <v>181</v>
      </c>
      <c r="C26" s="497" t="s">
        <v>182</v>
      </c>
      <c r="D26" s="497">
        <v>100.0</v>
      </c>
      <c r="E26" s="497">
        <v>1.0</v>
      </c>
      <c r="F26" s="497">
        <f t="shared" si="7"/>
        <v>100</v>
      </c>
      <c r="G26" s="497">
        <v>10.0</v>
      </c>
      <c r="H26" s="647">
        <f t="shared" si="8"/>
        <v>1000</v>
      </c>
      <c r="I26" s="647">
        <v>1.0</v>
      </c>
      <c r="J26" s="647">
        <f t="shared" si="9"/>
        <v>1000</v>
      </c>
    </row>
    <row r="27">
      <c r="C27" s="497" t="s">
        <v>183</v>
      </c>
      <c r="D27" s="497">
        <v>100.0</v>
      </c>
      <c r="E27" s="497">
        <v>1.0</v>
      </c>
      <c r="F27" s="497">
        <f t="shared" si="7"/>
        <v>100</v>
      </c>
      <c r="G27" s="497">
        <v>10.0</v>
      </c>
      <c r="H27" s="647">
        <f t="shared" si="8"/>
        <v>1000</v>
      </c>
      <c r="I27" s="647">
        <v>1.0</v>
      </c>
      <c r="J27" s="647">
        <f t="shared" si="9"/>
        <v>1000</v>
      </c>
    </row>
    <row r="28">
      <c r="C28" s="497" t="s">
        <v>184</v>
      </c>
      <c r="D28" s="497">
        <v>100.0</v>
      </c>
      <c r="E28" s="497">
        <v>1.0</v>
      </c>
      <c r="F28" s="497">
        <f t="shared" si="7"/>
        <v>100</v>
      </c>
      <c r="G28" s="497">
        <v>10.0</v>
      </c>
      <c r="H28" s="647">
        <f t="shared" si="8"/>
        <v>1000</v>
      </c>
      <c r="I28" s="647">
        <v>1.0</v>
      </c>
      <c r="J28" s="647">
        <f t="shared" si="9"/>
        <v>1000</v>
      </c>
    </row>
    <row r="29">
      <c r="E29" s="497">
        <v>1.0</v>
      </c>
      <c r="F29" s="497">
        <f t="shared" si="7"/>
        <v>0</v>
      </c>
    </row>
    <row r="30">
      <c r="B30" s="497" t="s">
        <v>185</v>
      </c>
      <c r="C30" s="497" t="s">
        <v>186</v>
      </c>
      <c r="D30" s="497">
        <v>20.0</v>
      </c>
      <c r="E30" s="497">
        <v>1.0</v>
      </c>
      <c r="F30" s="497">
        <f t="shared" si="7"/>
        <v>20</v>
      </c>
      <c r="G30" s="497">
        <v>1000.0</v>
      </c>
      <c r="H30" s="647">
        <f>SUM(F30*G30)</f>
        <v>20000</v>
      </c>
      <c r="I30" s="647">
        <v>20.0</v>
      </c>
      <c r="J30" s="647">
        <f>SUM(H30/I30)</f>
        <v>1000</v>
      </c>
    </row>
    <row r="33">
      <c r="D33" s="647">
        <f>SUM(D3:D30)</f>
        <v>1714970</v>
      </c>
      <c r="F33" s="647">
        <f>SUM(F3:F30)</f>
        <v>1714970</v>
      </c>
      <c r="H33" s="647">
        <f>SUM(H3:H30)</f>
        <v>1768225</v>
      </c>
      <c r="I33" s="647">
        <f>SUM(H33/J33)</f>
        <v>75.9052307</v>
      </c>
      <c r="J33" s="647">
        <f>SUM(J3:J30)</f>
        <v>23295.16667</v>
      </c>
    </row>
    <row r="34">
      <c r="A34" s="649" t="s">
        <v>187</v>
      </c>
    </row>
    <row r="35">
      <c r="B35" s="649" t="s">
        <v>188</v>
      </c>
      <c r="C35" s="497" t="s">
        <v>86</v>
      </c>
      <c r="D35" s="497" t="s">
        <v>189</v>
      </c>
    </row>
    <row r="36">
      <c r="A36" s="497" t="s">
        <v>190</v>
      </c>
      <c r="B36" s="650">
        <f t="shared" ref="B36:C36" si="10">SUM(H33)</f>
        <v>1768225</v>
      </c>
      <c r="C36" s="651">
        <f t="shared" si="10"/>
        <v>75.9052307</v>
      </c>
      <c r="D36" s="652">
        <f t="shared" ref="D36:D38" si="11">SUM(B36/C36)</f>
        <v>23295.16667</v>
      </c>
    </row>
    <row r="37">
      <c r="A37" s="497" t="s">
        <v>86</v>
      </c>
      <c r="B37" s="649">
        <v>100.0</v>
      </c>
      <c r="C37" s="651">
        <f>SUM(I33)</f>
        <v>75.9052307</v>
      </c>
      <c r="D37" s="652">
        <f t="shared" si="11"/>
        <v>1.317432265</v>
      </c>
    </row>
    <row r="38">
      <c r="A38" s="497" t="s">
        <v>191</v>
      </c>
      <c r="B38" s="653">
        <f>SUM(Assumptions!B15)</f>
        <v>300000</v>
      </c>
      <c r="C38" s="651">
        <f>SUM(I33)</f>
        <v>75.9052307</v>
      </c>
      <c r="D38" s="652">
        <f t="shared" si="11"/>
        <v>3952.296795</v>
      </c>
    </row>
    <row r="45">
      <c r="B45" s="497" t="s">
        <v>192</v>
      </c>
      <c r="C45" s="497" t="s">
        <v>153</v>
      </c>
      <c r="D45" s="497" t="s">
        <v>154</v>
      </c>
    </row>
    <row r="46">
      <c r="D46" s="497" t="s">
        <v>155</v>
      </c>
    </row>
    <row r="47">
      <c r="C47" s="497" t="s">
        <v>193</v>
      </c>
      <c r="D47" s="497" t="s">
        <v>194</v>
      </c>
    </row>
    <row r="48">
      <c r="D48" s="497" t="s">
        <v>195</v>
      </c>
    </row>
    <row r="49">
      <c r="C49" s="497" t="s">
        <v>196</v>
      </c>
      <c r="D49" s="497" t="s">
        <v>197</v>
      </c>
    </row>
    <row r="50">
      <c r="D50" s="497" t="s">
        <v>198</v>
      </c>
    </row>
    <row r="51">
      <c r="C51" s="497" t="s">
        <v>199</v>
      </c>
    </row>
    <row r="53">
      <c r="C53" s="497" t="s">
        <v>200</v>
      </c>
    </row>
    <row r="54">
      <c r="C54" s="497" t="s">
        <v>201</v>
      </c>
    </row>
    <row r="55">
      <c r="C55" s="497" t="s">
        <v>202</v>
      </c>
    </row>
    <row r="59">
      <c r="B59" s="497" t="s">
        <v>150</v>
      </c>
      <c r="C59" s="497" t="s">
        <v>203</v>
      </c>
      <c r="D59" s="497" t="s">
        <v>189</v>
      </c>
    </row>
    <row r="60">
      <c r="A60" s="497" t="s">
        <v>204</v>
      </c>
      <c r="B60" s="555">
        <v>1.5E7</v>
      </c>
      <c r="C60" s="555">
        <v>1000.0</v>
      </c>
      <c r="D60" s="559">
        <f t="shared" ref="D60:D62" si="12">SUM(B60/C60)</f>
        <v>15000</v>
      </c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</row>
    <row r="61">
      <c r="A61" s="497" t="s">
        <v>203</v>
      </c>
      <c r="C61" s="559">
        <f t="shared" ref="C61:C62" si="13">SUM(C60)</f>
        <v>1000</v>
      </c>
      <c r="D61" s="559">
        <f t="shared" si="12"/>
        <v>0</v>
      </c>
    </row>
    <row r="62">
      <c r="A62" s="497" t="s">
        <v>191</v>
      </c>
      <c r="B62" s="559">
        <f>SUM(Assumptions!B14)</f>
        <v>158333.3333</v>
      </c>
      <c r="C62" s="559">
        <f t="shared" si="13"/>
        <v>1000</v>
      </c>
      <c r="D62" s="559">
        <f t="shared" si="12"/>
        <v>158.3333333</v>
      </c>
    </row>
  </sheetData>
  <mergeCells count="1">
    <mergeCell ref="A34:C3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88"/>
    <col customWidth="1" min="6" max="6" width="17.38"/>
    <col customWidth="1" min="7" max="7" width="17.88"/>
  </cols>
  <sheetData>
    <row r="3">
      <c r="E3" s="654" t="s">
        <v>104</v>
      </c>
      <c r="F3" s="654" t="s">
        <v>205</v>
      </c>
    </row>
    <row r="4">
      <c r="D4" s="655"/>
      <c r="F4" s="656"/>
    </row>
    <row r="5">
      <c r="D5" s="654" t="s">
        <v>26</v>
      </c>
      <c r="E5" s="657">
        <v>0.782</v>
      </c>
      <c r="F5" s="654">
        <v>0.093</v>
      </c>
    </row>
    <row r="6">
      <c r="D6" s="654" t="s">
        <v>27</v>
      </c>
      <c r="E6" s="654">
        <v>2.4</v>
      </c>
      <c r="F6" s="654">
        <v>0.326</v>
      </c>
    </row>
    <row r="7">
      <c r="D7" s="654" t="s">
        <v>28</v>
      </c>
      <c r="E7" s="654">
        <v>24.9</v>
      </c>
      <c r="F7" s="654">
        <v>4.183</v>
      </c>
    </row>
    <row r="8">
      <c r="D8" s="654"/>
      <c r="E8" s="654"/>
      <c r="F8" s="654"/>
    </row>
    <row r="9">
      <c r="D9" s="654"/>
    </row>
    <row r="24">
      <c r="E24" s="658" t="s">
        <v>104</v>
      </c>
      <c r="F24" s="658" t="s">
        <v>206</v>
      </c>
      <c r="G24" s="658" t="s">
        <v>205</v>
      </c>
    </row>
    <row r="25">
      <c r="D25" s="654" t="s">
        <v>26</v>
      </c>
      <c r="E25" s="559">
        <f>SUM('Income Statement'!B15)</f>
        <v>100380194.6</v>
      </c>
      <c r="F25" s="559">
        <f>SUM('Income Statement'!B34)</f>
        <v>6087295.739</v>
      </c>
      <c r="G25" s="559">
        <f>SUM('Income Statement'!B36)</f>
        <v>4261107.017</v>
      </c>
    </row>
    <row r="26">
      <c r="D26" s="654" t="s">
        <v>27</v>
      </c>
      <c r="E26" s="559">
        <f>SUM('Income Statement'!C15)</f>
        <v>1533775039</v>
      </c>
      <c r="F26" s="559">
        <f>SUM('Income Statement'!C34)</f>
        <v>-729254533.7</v>
      </c>
      <c r="G26" s="559">
        <f>SUM('Income Statement'!C36)</f>
        <v>-729254533.7</v>
      </c>
    </row>
    <row r="27">
      <c r="D27" s="654" t="s">
        <v>28</v>
      </c>
      <c r="E27" s="559">
        <f>SUM('Income Statement'!D15)</f>
        <v>5960777215</v>
      </c>
      <c r="F27" s="559">
        <f>SUM('Income Statement'!D34)</f>
        <v>2036958070</v>
      </c>
      <c r="G27" s="559">
        <f>SUM('Income Statement'!D36)</f>
        <v>1425870649</v>
      </c>
    </row>
    <row r="28">
      <c r="D28" s="654"/>
      <c r="E28" s="648"/>
      <c r="F28" s="648"/>
      <c r="G28" s="648"/>
    </row>
    <row r="30">
      <c r="E30" s="659">
        <f t="shared" ref="E30:G30" si="1">(E27-E25)/E25</f>
        <v>58.38200497</v>
      </c>
      <c r="F30" s="659">
        <f t="shared" si="1"/>
        <v>333.6244633</v>
      </c>
      <c r="G30" s="659">
        <f t="shared" si="1"/>
        <v>333.6244633</v>
      </c>
    </row>
  </sheetData>
  <drawing r:id="rId1"/>
</worksheet>
</file>